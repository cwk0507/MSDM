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auser\Desktop\MscDDM\5003\HW\HW7\"/>
    </mc:Choice>
  </mc:AlternateContent>
  <bookViews>
    <workbookView xWindow="0" yWindow="0" windowWidth="30720" windowHeight="13416" activeTab="1"/>
  </bookViews>
  <sheets>
    <sheet name="Eigencalcs" sheetId="6" r:id="rId1"/>
    <sheet name="PCA" sheetId="8" r:id="rId2"/>
    <sheet name="(6) Eigenvalue_vs_Eigenmode" sheetId="9" r:id="rId3"/>
    <sheet name="(8) PC2_PC3" sheetId="10" r:id="rId4"/>
    <sheet name="(15) Strategies" sheetId="12" r:id="rId5"/>
  </sheets>
  <functionGroups builtInGroupCount="18"/>
  <definedNames>
    <definedName name="anscount" hidden="1">2</definedName>
    <definedName name="Lambda">#REF!</definedName>
    <definedName name="limcount" hidden="1">1</definedName>
    <definedName name="M">#REF!</definedName>
    <definedName name="sencount" hidden="1">2</definedName>
    <definedName name="tranmat">#REF!</definedName>
    <definedName name="TransMat">#REF!</definedName>
    <definedName name="Vec">#REF!</definedName>
    <definedName name="VecTran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H4" i="8" l="1"/>
  <c r="BI4" i="8"/>
  <c r="BJ4" i="8"/>
  <c r="BG4" i="8"/>
  <c r="BH5" i="8"/>
  <c r="BI5" i="8"/>
  <c r="BJ5" i="8"/>
  <c r="BH6" i="8"/>
  <c r="BI6" i="8"/>
  <c r="BJ6" i="8"/>
  <c r="BH7" i="8"/>
  <c r="BI7" i="8"/>
  <c r="BJ7" i="8"/>
  <c r="BH8" i="8"/>
  <c r="BI8" i="8"/>
  <c r="BJ8" i="8"/>
  <c r="BH9" i="8"/>
  <c r="BI9" i="8"/>
  <c r="BJ9" i="8"/>
  <c r="BH10" i="8"/>
  <c r="BI10" i="8"/>
  <c r="BJ10" i="8"/>
  <c r="BH11" i="8"/>
  <c r="BI11" i="8"/>
  <c r="BJ11" i="8"/>
  <c r="BH12" i="8"/>
  <c r="BI12" i="8"/>
  <c r="BJ12" i="8"/>
  <c r="BH13" i="8"/>
  <c r="BI13" i="8"/>
  <c r="BJ13" i="8"/>
  <c r="BH14" i="8"/>
  <c r="BI14" i="8"/>
  <c r="BJ14" i="8"/>
  <c r="BH15" i="8"/>
  <c r="BI15" i="8"/>
  <c r="BJ15" i="8"/>
  <c r="BH16" i="8"/>
  <c r="BI16" i="8"/>
  <c r="BJ16" i="8"/>
  <c r="BH17" i="8"/>
  <c r="BI17" i="8"/>
  <c r="BJ17" i="8"/>
  <c r="BH18" i="8"/>
  <c r="BI18" i="8"/>
  <c r="BJ18" i="8"/>
  <c r="BH19" i="8"/>
  <c r="BI19" i="8"/>
  <c r="BJ19" i="8"/>
  <c r="BH20" i="8"/>
  <c r="BI20" i="8"/>
  <c r="BJ20" i="8"/>
  <c r="BH21" i="8"/>
  <c r="BI21" i="8"/>
  <c r="BJ21" i="8"/>
  <c r="BH22" i="8"/>
  <c r="BI22" i="8"/>
  <c r="BJ22" i="8"/>
  <c r="BH23" i="8"/>
  <c r="BI23" i="8"/>
  <c r="BJ23" i="8"/>
  <c r="BH24" i="8"/>
  <c r="BI24" i="8"/>
  <c r="BJ24" i="8"/>
  <c r="BH25" i="8"/>
  <c r="BI25" i="8"/>
  <c r="BJ25" i="8"/>
  <c r="BH26" i="8"/>
  <c r="BI26" i="8"/>
  <c r="BJ26" i="8"/>
  <c r="BH27" i="8"/>
  <c r="BI27" i="8"/>
  <c r="BJ27" i="8"/>
  <c r="BH28" i="8"/>
  <c r="BI28" i="8"/>
  <c r="BJ28" i="8"/>
  <c r="BH29" i="8"/>
  <c r="BI29" i="8"/>
  <c r="BJ29" i="8"/>
  <c r="BH30" i="8"/>
  <c r="BI30" i="8"/>
  <c r="BJ30" i="8"/>
  <c r="BH31" i="8"/>
  <c r="BI31" i="8"/>
  <c r="BJ31" i="8"/>
  <c r="BH32" i="8"/>
  <c r="BI32" i="8"/>
  <c r="BJ32" i="8"/>
  <c r="BH33" i="8"/>
  <c r="BI33" i="8"/>
  <c r="BJ33" i="8"/>
  <c r="BH34" i="8"/>
  <c r="BI34" i="8"/>
  <c r="BJ34" i="8"/>
  <c r="BH35" i="8"/>
  <c r="BI35" i="8"/>
  <c r="BJ35" i="8"/>
  <c r="BH36" i="8"/>
  <c r="BI36" i="8"/>
  <c r="BJ36" i="8"/>
  <c r="BH37" i="8"/>
  <c r="BI37" i="8"/>
  <c r="BJ37" i="8"/>
  <c r="BH38" i="8"/>
  <c r="BI38" i="8"/>
  <c r="BJ38" i="8"/>
  <c r="BH39" i="8"/>
  <c r="BI39" i="8"/>
  <c r="BJ39" i="8"/>
  <c r="BH40" i="8"/>
  <c r="BI40" i="8"/>
  <c r="BJ40" i="8"/>
  <c r="BH41" i="8"/>
  <c r="BI41" i="8"/>
  <c r="BJ41" i="8"/>
  <c r="BH42" i="8"/>
  <c r="BI42" i="8"/>
  <c r="BJ42" i="8"/>
  <c r="BH43" i="8"/>
  <c r="BI43" i="8"/>
  <c r="BJ43" i="8"/>
  <c r="BH44" i="8"/>
  <c r="BI44" i="8"/>
  <c r="BJ44" i="8"/>
  <c r="BH45" i="8"/>
  <c r="BI45" i="8"/>
  <c r="BJ45" i="8"/>
  <c r="BH46" i="8"/>
  <c r="BI46" i="8"/>
  <c r="BJ46" i="8"/>
  <c r="BH47" i="8"/>
  <c r="BI47" i="8"/>
  <c r="BJ47" i="8"/>
  <c r="BH48" i="8"/>
  <c r="BI48" i="8"/>
  <c r="BJ48" i="8"/>
  <c r="BH49" i="8"/>
  <c r="BI49" i="8"/>
  <c r="BJ49" i="8"/>
  <c r="BH50" i="8"/>
  <c r="BI50" i="8"/>
  <c r="BJ50" i="8"/>
  <c r="BH51" i="8"/>
  <c r="BI51" i="8"/>
  <c r="BJ51" i="8"/>
  <c r="BH52" i="8"/>
  <c r="BI52" i="8"/>
  <c r="BJ52" i="8"/>
  <c r="BH53" i="8"/>
  <c r="BI53" i="8"/>
  <c r="BJ53" i="8"/>
  <c r="BH54" i="8"/>
  <c r="BI54" i="8"/>
  <c r="BJ54" i="8"/>
  <c r="BH55" i="8"/>
  <c r="BI55" i="8"/>
  <c r="BJ55" i="8"/>
  <c r="BH56" i="8"/>
  <c r="BI56" i="8"/>
  <c r="BJ56" i="8"/>
  <c r="BH57" i="8"/>
  <c r="BI57" i="8"/>
  <c r="BJ57" i="8"/>
  <c r="BH58" i="8"/>
  <c r="BI58" i="8"/>
  <c r="BJ58" i="8"/>
  <c r="BH59" i="8"/>
  <c r="BI59" i="8"/>
  <c r="BJ59" i="8"/>
  <c r="BH60" i="8"/>
  <c r="BI60" i="8"/>
  <c r="BJ60" i="8"/>
  <c r="BH61" i="8"/>
  <c r="BI61" i="8"/>
  <c r="BJ61" i="8"/>
  <c r="BH62" i="8"/>
  <c r="BI62" i="8"/>
  <c r="BJ62" i="8"/>
  <c r="BH63" i="8"/>
  <c r="BI63" i="8"/>
  <c r="BJ63" i="8"/>
  <c r="BH64" i="8"/>
  <c r="BI64" i="8"/>
  <c r="BJ64" i="8"/>
  <c r="BH65" i="8"/>
  <c r="BI65" i="8"/>
  <c r="BJ65" i="8"/>
  <c r="BH66" i="8"/>
  <c r="BI66" i="8"/>
  <c r="BJ66" i="8"/>
  <c r="BH67" i="8"/>
  <c r="BI67" i="8"/>
  <c r="BJ67" i="8"/>
  <c r="BH68" i="8"/>
  <c r="BI68" i="8"/>
  <c r="BJ68" i="8"/>
  <c r="BH69" i="8"/>
  <c r="BI69" i="8"/>
  <c r="BJ69" i="8"/>
  <c r="BH70" i="8"/>
  <c r="BI70" i="8"/>
  <c r="BJ70" i="8"/>
  <c r="BH71" i="8"/>
  <c r="BI71" i="8"/>
  <c r="BJ71" i="8"/>
  <c r="BH72" i="8"/>
  <c r="BI72" i="8"/>
  <c r="BJ72" i="8"/>
  <c r="BH73" i="8"/>
  <c r="BI73" i="8"/>
  <c r="BJ73" i="8"/>
  <c r="BH74" i="8"/>
  <c r="BI74" i="8"/>
  <c r="BJ74" i="8"/>
  <c r="BH75" i="8"/>
  <c r="BI75" i="8"/>
  <c r="BJ75" i="8"/>
  <c r="BH76" i="8"/>
  <c r="BI76" i="8"/>
  <c r="BJ76" i="8"/>
  <c r="BH77" i="8"/>
  <c r="BI77" i="8"/>
  <c r="BJ77" i="8"/>
  <c r="BH78" i="8"/>
  <c r="BI78" i="8"/>
  <c r="BJ78" i="8"/>
  <c r="BH79" i="8"/>
  <c r="BI79" i="8"/>
  <c r="BJ79" i="8"/>
  <c r="BH80" i="8"/>
  <c r="BI80" i="8"/>
  <c r="BJ80" i="8"/>
  <c r="BH81" i="8"/>
  <c r="BI81" i="8"/>
  <c r="BJ81" i="8"/>
  <c r="BH82" i="8"/>
  <c r="BI82" i="8"/>
  <c r="BJ82" i="8"/>
  <c r="BH83" i="8"/>
  <c r="BI83" i="8"/>
  <c r="BJ83" i="8"/>
  <c r="BH84" i="8"/>
  <c r="BI84" i="8"/>
  <c r="BJ84" i="8"/>
  <c r="BH85" i="8"/>
  <c r="BI85" i="8"/>
  <c r="BJ85" i="8"/>
  <c r="BH86" i="8"/>
  <c r="BI86" i="8"/>
  <c r="BJ86" i="8"/>
  <c r="BH87" i="8"/>
  <c r="BI87" i="8"/>
  <c r="BJ87" i="8"/>
  <c r="BH88" i="8"/>
  <c r="BI88" i="8"/>
  <c r="BJ88" i="8"/>
  <c r="BH89" i="8"/>
  <c r="BI89" i="8"/>
  <c r="BJ89" i="8"/>
  <c r="BH90" i="8"/>
  <c r="BI90" i="8"/>
  <c r="BJ90" i="8"/>
  <c r="BH91" i="8"/>
  <c r="BI91" i="8"/>
  <c r="BJ91" i="8"/>
  <c r="BH92" i="8"/>
  <c r="BI92" i="8"/>
  <c r="BJ92" i="8"/>
  <c r="BH93" i="8"/>
  <c r="BI93" i="8"/>
  <c r="BJ93" i="8"/>
  <c r="BH94" i="8"/>
  <c r="BI94" i="8"/>
  <c r="BJ94" i="8"/>
  <c r="BH95" i="8"/>
  <c r="BI95" i="8"/>
  <c r="BJ95" i="8"/>
  <c r="BH96" i="8"/>
  <c r="BI96" i="8"/>
  <c r="BJ96" i="8"/>
  <c r="BH97" i="8"/>
  <c r="BI97" i="8"/>
  <c r="BJ97" i="8"/>
  <c r="BH98" i="8"/>
  <c r="BI98" i="8"/>
  <c r="BJ98" i="8"/>
  <c r="BH99" i="8"/>
  <c r="BI99" i="8"/>
  <c r="BJ99" i="8"/>
  <c r="BH100" i="8"/>
  <c r="BI100" i="8"/>
  <c r="BJ100" i="8"/>
  <c r="BH101" i="8"/>
  <c r="BI101" i="8"/>
  <c r="BJ101" i="8"/>
  <c r="BH102" i="8"/>
  <c r="BI102" i="8"/>
  <c r="BJ102" i="8"/>
  <c r="BH103" i="8"/>
  <c r="BI103" i="8"/>
  <c r="BJ103" i="8"/>
  <c r="BH104" i="8"/>
  <c r="BI104" i="8"/>
  <c r="BJ104" i="8"/>
  <c r="BH105" i="8"/>
  <c r="BI105" i="8"/>
  <c r="BJ105" i="8"/>
  <c r="BH106" i="8"/>
  <c r="BI106" i="8"/>
  <c r="BJ106" i="8"/>
  <c r="BH107" i="8"/>
  <c r="BI107" i="8"/>
  <c r="BJ107" i="8"/>
  <c r="BH108" i="8"/>
  <c r="BI108" i="8"/>
  <c r="BJ108" i="8"/>
  <c r="BH109" i="8"/>
  <c r="BI109" i="8"/>
  <c r="BJ109" i="8"/>
  <c r="BH110" i="8"/>
  <c r="BI110" i="8"/>
  <c r="BJ110" i="8"/>
  <c r="BH111" i="8"/>
  <c r="BI111" i="8"/>
  <c r="BJ111" i="8"/>
  <c r="BH112" i="8"/>
  <c r="BI112" i="8"/>
  <c r="BJ112" i="8"/>
  <c r="BH113" i="8"/>
  <c r="BI113" i="8"/>
  <c r="BJ113" i="8"/>
  <c r="BH114" i="8"/>
  <c r="BI114" i="8"/>
  <c r="BJ114" i="8"/>
  <c r="BH115" i="8"/>
  <c r="BI115" i="8"/>
  <c r="BJ115" i="8"/>
  <c r="BH116" i="8"/>
  <c r="BI116" i="8"/>
  <c r="BJ116" i="8"/>
  <c r="BH117" i="8"/>
  <c r="BI117" i="8"/>
  <c r="BJ117" i="8"/>
  <c r="BH118" i="8"/>
  <c r="BI118" i="8"/>
  <c r="BJ118" i="8"/>
  <c r="BH119" i="8"/>
  <c r="BI119" i="8"/>
  <c r="BJ119" i="8"/>
  <c r="BH120" i="8"/>
  <c r="BI120" i="8"/>
  <c r="BJ120" i="8"/>
  <c r="BH121" i="8"/>
  <c r="BI121" i="8"/>
  <c r="BJ121" i="8"/>
  <c r="BH122" i="8"/>
  <c r="BI122" i="8"/>
  <c r="BJ122" i="8"/>
  <c r="BH123" i="8"/>
  <c r="BI123" i="8"/>
  <c r="BJ123" i="8"/>
  <c r="BH124" i="8"/>
  <c r="BI124" i="8"/>
  <c r="BJ124" i="8"/>
  <c r="BH125" i="8"/>
  <c r="BI125" i="8"/>
  <c r="BJ125" i="8"/>
  <c r="BH126" i="8"/>
  <c r="BI126" i="8"/>
  <c r="BJ126" i="8"/>
  <c r="BH127" i="8"/>
  <c r="BI127" i="8"/>
  <c r="BJ127" i="8"/>
  <c r="BH128" i="8"/>
  <c r="BI128" i="8"/>
  <c r="BJ128" i="8"/>
  <c r="BH129" i="8"/>
  <c r="BI129" i="8"/>
  <c r="BJ129" i="8"/>
  <c r="BH130" i="8"/>
  <c r="BI130" i="8"/>
  <c r="BJ130" i="8"/>
  <c r="BH131" i="8"/>
  <c r="BI131" i="8"/>
  <c r="BJ131" i="8"/>
  <c r="BH132" i="8"/>
  <c r="BI132" i="8"/>
  <c r="BJ132" i="8"/>
  <c r="BH133" i="8"/>
  <c r="BI133" i="8"/>
  <c r="BJ133" i="8"/>
  <c r="BH134" i="8"/>
  <c r="BI134" i="8"/>
  <c r="BJ134" i="8"/>
  <c r="BH135" i="8"/>
  <c r="BI135" i="8"/>
  <c r="BJ135" i="8"/>
  <c r="BH136" i="8"/>
  <c r="BI136" i="8"/>
  <c r="BJ136" i="8"/>
  <c r="BH137" i="8"/>
  <c r="BI137" i="8"/>
  <c r="BJ137" i="8"/>
  <c r="BH138" i="8"/>
  <c r="BI138" i="8"/>
  <c r="BJ138" i="8"/>
  <c r="BH139" i="8"/>
  <c r="BI139" i="8"/>
  <c r="BJ139" i="8"/>
  <c r="BH140" i="8"/>
  <c r="BI140" i="8"/>
  <c r="BJ140" i="8"/>
  <c r="BH141" i="8"/>
  <c r="BI141" i="8"/>
  <c r="BJ141" i="8"/>
  <c r="BH142" i="8"/>
  <c r="BI142" i="8"/>
  <c r="BJ142" i="8"/>
  <c r="BH143" i="8"/>
  <c r="BI143" i="8"/>
  <c r="BJ143" i="8"/>
  <c r="BH144" i="8"/>
  <c r="BI144" i="8"/>
  <c r="BJ144" i="8"/>
  <c r="BH145" i="8"/>
  <c r="BI145" i="8"/>
  <c r="BJ145" i="8"/>
  <c r="BH146" i="8"/>
  <c r="BI146" i="8"/>
  <c r="BJ146" i="8"/>
  <c r="BH147" i="8"/>
  <c r="BI147" i="8"/>
  <c r="BJ147" i="8"/>
  <c r="BH148" i="8"/>
  <c r="BI148" i="8"/>
  <c r="BJ148" i="8"/>
  <c r="BH149" i="8"/>
  <c r="BI149" i="8"/>
  <c r="BJ149" i="8"/>
  <c r="BH150" i="8"/>
  <c r="BI150" i="8"/>
  <c r="BJ150" i="8"/>
  <c r="BH151" i="8"/>
  <c r="BI151" i="8"/>
  <c r="BJ151" i="8"/>
  <c r="BH152" i="8"/>
  <c r="BI152" i="8"/>
  <c r="BJ152" i="8"/>
  <c r="BH153" i="8"/>
  <c r="BI153" i="8"/>
  <c r="BJ153" i="8"/>
  <c r="BH154" i="8"/>
  <c r="BI154" i="8"/>
  <c r="BJ154" i="8"/>
  <c r="BH155" i="8"/>
  <c r="BI155" i="8"/>
  <c r="BJ155" i="8"/>
  <c r="BH156" i="8"/>
  <c r="BI156" i="8"/>
  <c r="BJ156" i="8"/>
  <c r="BH157" i="8"/>
  <c r="BI157" i="8"/>
  <c r="BJ157" i="8"/>
  <c r="BH158" i="8"/>
  <c r="BI158" i="8"/>
  <c r="BJ158" i="8"/>
  <c r="BH159" i="8"/>
  <c r="BI159" i="8"/>
  <c r="BJ159" i="8"/>
  <c r="BH160" i="8"/>
  <c r="BI160" i="8"/>
  <c r="BJ160" i="8"/>
  <c r="BH161" i="8"/>
  <c r="BI161" i="8"/>
  <c r="BJ161" i="8"/>
  <c r="BH162" i="8"/>
  <c r="BI162" i="8"/>
  <c r="BJ162" i="8"/>
  <c r="BH163" i="8"/>
  <c r="BI163" i="8"/>
  <c r="BJ163" i="8"/>
  <c r="BH164" i="8"/>
  <c r="BI164" i="8"/>
  <c r="BJ164" i="8"/>
  <c r="BH165" i="8"/>
  <c r="BI165" i="8"/>
  <c r="BJ165" i="8"/>
  <c r="BH166" i="8"/>
  <c r="BI166" i="8"/>
  <c r="BJ166" i="8"/>
  <c r="BH167" i="8"/>
  <c r="BI167" i="8"/>
  <c r="BJ167" i="8"/>
  <c r="BH168" i="8"/>
  <c r="BI168" i="8"/>
  <c r="BJ168" i="8"/>
  <c r="BH169" i="8"/>
  <c r="BI169" i="8"/>
  <c r="BJ169" i="8"/>
  <c r="BH170" i="8"/>
  <c r="BI170" i="8"/>
  <c r="BJ170" i="8"/>
  <c r="BH171" i="8"/>
  <c r="BI171" i="8"/>
  <c r="BJ171" i="8"/>
  <c r="BH172" i="8"/>
  <c r="BI172" i="8"/>
  <c r="BJ172" i="8"/>
  <c r="BH173" i="8"/>
  <c r="BI173" i="8"/>
  <c r="BJ173" i="8"/>
  <c r="BH174" i="8"/>
  <c r="BI174" i="8"/>
  <c r="BJ174" i="8"/>
  <c r="BH175" i="8"/>
  <c r="BI175" i="8"/>
  <c r="BJ175" i="8"/>
  <c r="BH176" i="8"/>
  <c r="BI176" i="8"/>
  <c r="BJ176" i="8"/>
  <c r="BH177" i="8"/>
  <c r="BI177" i="8"/>
  <c r="BJ177" i="8"/>
  <c r="BH178" i="8"/>
  <c r="BI178" i="8"/>
  <c r="BJ178" i="8"/>
  <c r="BH179" i="8"/>
  <c r="BI179" i="8"/>
  <c r="BJ179" i="8"/>
  <c r="BH180" i="8"/>
  <c r="BI180" i="8"/>
  <c r="BJ180" i="8"/>
  <c r="BH181" i="8"/>
  <c r="BI181" i="8"/>
  <c r="BJ181" i="8"/>
  <c r="BH182" i="8"/>
  <c r="BI182" i="8"/>
  <c r="BJ182" i="8"/>
  <c r="BH183" i="8"/>
  <c r="BI183" i="8"/>
  <c r="BJ183" i="8"/>
  <c r="BH184" i="8"/>
  <c r="BI184" i="8"/>
  <c r="BJ184" i="8"/>
  <c r="BH185" i="8"/>
  <c r="BI185" i="8"/>
  <c r="BJ185" i="8"/>
  <c r="BH186" i="8"/>
  <c r="BI186" i="8"/>
  <c r="BJ186" i="8"/>
  <c r="BH187" i="8"/>
  <c r="BI187" i="8"/>
  <c r="BJ187" i="8"/>
  <c r="BH188" i="8"/>
  <c r="BI188" i="8"/>
  <c r="BJ188" i="8"/>
  <c r="BH189" i="8"/>
  <c r="BI189" i="8"/>
  <c r="BJ189" i="8"/>
  <c r="BH190" i="8"/>
  <c r="BI190" i="8"/>
  <c r="BJ190" i="8"/>
  <c r="BH191" i="8"/>
  <c r="BI191" i="8"/>
  <c r="BJ191" i="8"/>
  <c r="BH192" i="8"/>
  <c r="BI192" i="8"/>
  <c r="BJ192" i="8"/>
  <c r="BH193" i="8"/>
  <c r="BI193" i="8"/>
  <c r="BJ193" i="8"/>
  <c r="BH194" i="8"/>
  <c r="BI194" i="8"/>
  <c r="BJ194" i="8"/>
  <c r="BH195" i="8"/>
  <c r="BI195" i="8"/>
  <c r="BJ195" i="8"/>
  <c r="BH196" i="8"/>
  <c r="BI196" i="8"/>
  <c r="BJ196" i="8"/>
  <c r="BH197" i="8"/>
  <c r="BI197" i="8"/>
  <c r="BJ197" i="8"/>
  <c r="BH198" i="8"/>
  <c r="BI198" i="8"/>
  <c r="BJ198" i="8"/>
  <c r="BH199" i="8"/>
  <c r="BI199" i="8"/>
  <c r="BJ199" i="8"/>
  <c r="BH200" i="8"/>
  <c r="BI200" i="8"/>
  <c r="BJ200" i="8"/>
  <c r="BH201" i="8"/>
  <c r="BI201" i="8"/>
  <c r="BJ201" i="8"/>
  <c r="BH202" i="8"/>
  <c r="BI202" i="8"/>
  <c r="BJ202" i="8"/>
  <c r="BH203" i="8"/>
  <c r="BI203" i="8"/>
  <c r="BJ203" i="8"/>
  <c r="BH204" i="8"/>
  <c r="BI204" i="8"/>
  <c r="BJ204" i="8"/>
  <c r="BH205" i="8"/>
  <c r="BI205" i="8"/>
  <c r="BJ205" i="8"/>
  <c r="BH206" i="8"/>
  <c r="BI206" i="8"/>
  <c r="BJ206" i="8"/>
  <c r="BH207" i="8"/>
  <c r="BI207" i="8"/>
  <c r="BJ207" i="8"/>
  <c r="BH208" i="8"/>
  <c r="BI208" i="8"/>
  <c r="BJ208" i="8"/>
  <c r="BH209" i="8"/>
  <c r="BI209" i="8"/>
  <c r="BJ209" i="8"/>
  <c r="BH210" i="8"/>
  <c r="BI210" i="8"/>
  <c r="BJ210" i="8"/>
  <c r="BH211" i="8"/>
  <c r="BI211" i="8"/>
  <c r="BJ211" i="8"/>
  <c r="BH212" i="8"/>
  <c r="BI212" i="8"/>
  <c r="BJ212" i="8"/>
  <c r="BH213" i="8"/>
  <c r="BI213" i="8"/>
  <c r="BJ213" i="8"/>
  <c r="BH214" i="8"/>
  <c r="BI214" i="8"/>
  <c r="BJ214" i="8"/>
  <c r="BH215" i="8"/>
  <c r="BI215" i="8"/>
  <c r="BJ215" i="8"/>
  <c r="BH216" i="8"/>
  <c r="BI216" i="8"/>
  <c r="BJ216" i="8"/>
  <c r="BH217" i="8"/>
  <c r="BI217" i="8"/>
  <c r="BJ217" i="8"/>
  <c r="BH218" i="8"/>
  <c r="BI218" i="8"/>
  <c r="BJ218" i="8"/>
  <c r="BH219" i="8"/>
  <c r="BI219" i="8"/>
  <c r="BJ219" i="8"/>
  <c r="BH220" i="8"/>
  <c r="BI220" i="8"/>
  <c r="BJ220" i="8"/>
  <c r="BH221" i="8"/>
  <c r="BI221" i="8"/>
  <c r="BJ221" i="8"/>
  <c r="BH222" i="8"/>
  <c r="BI222" i="8"/>
  <c r="BJ222" i="8"/>
  <c r="BH223" i="8"/>
  <c r="BI223" i="8"/>
  <c r="BJ223" i="8"/>
  <c r="BH224" i="8"/>
  <c r="BI224" i="8"/>
  <c r="BJ224" i="8"/>
  <c r="BH225" i="8"/>
  <c r="BI225" i="8"/>
  <c r="BJ225" i="8"/>
  <c r="BH226" i="8"/>
  <c r="BI226" i="8"/>
  <c r="BJ226" i="8"/>
  <c r="BH227" i="8"/>
  <c r="BI227" i="8"/>
  <c r="BJ227" i="8"/>
  <c r="BH228" i="8"/>
  <c r="BI228" i="8"/>
  <c r="BJ228" i="8"/>
  <c r="BH229" i="8"/>
  <c r="BI229" i="8"/>
  <c r="BJ229" i="8"/>
  <c r="BH230" i="8"/>
  <c r="BI230" i="8"/>
  <c r="BJ230" i="8"/>
  <c r="BH231" i="8"/>
  <c r="BI231" i="8"/>
  <c r="BJ231" i="8"/>
  <c r="BH232" i="8"/>
  <c r="BI232" i="8"/>
  <c r="BJ232" i="8"/>
  <c r="BH233" i="8"/>
  <c r="BI233" i="8"/>
  <c r="BJ233" i="8"/>
  <c r="BH234" i="8"/>
  <c r="BI234" i="8"/>
  <c r="BJ234" i="8"/>
  <c r="BH235" i="8"/>
  <c r="BI235" i="8"/>
  <c r="BJ235" i="8"/>
  <c r="BH236" i="8"/>
  <c r="BI236" i="8"/>
  <c r="BJ236" i="8"/>
  <c r="BH237" i="8"/>
  <c r="BI237" i="8"/>
  <c r="BJ237" i="8"/>
  <c r="BH238" i="8"/>
  <c r="BI238" i="8"/>
  <c r="BJ238" i="8"/>
  <c r="BH239" i="8"/>
  <c r="BI239" i="8"/>
  <c r="BJ239" i="8"/>
  <c r="BH240" i="8"/>
  <c r="BI240" i="8"/>
  <c r="BJ240" i="8"/>
  <c r="BH241" i="8"/>
  <c r="BI241" i="8"/>
  <c r="BJ241" i="8"/>
  <c r="BH242" i="8"/>
  <c r="BI242" i="8"/>
  <c r="BJ242" i="8"/>
  <c r="BH243" i="8"/>
  <c r="BI243" i="8"/>
  <c r="BJ243" i="8"/>
  <c r="BH244" i="8"/>
  <c r="BI244" i="8"/>
  <c r="BJ244" i="8"/>
  <c r="BH245" i="8"/>
  <c r="BI245" i="8"/>
  <c r="BJ245" i="8"/>
  <c r="BH246" i="8"/>
  <c r="BI246" i="8"/>
  <c r="BJ246" i="8"/>
  <c r="BH247" i="8"/>
  <c r="BI247" i="8"/>
  <c r="BJ247" i="8"/>
  <c r="BH248" i="8"/>
  <c r="BI248" i="8"/>
  <c r="BJ248" i="8"/>
  <c r="BH249" i="8"/>
  <c r="BI249" i="8"/>
  <c r="BJ249" i="8"/>
  <c r="BH250" i="8"/>
  <c r="BI250" i="8"/>
  <c r="BJ250" i="8"/>
  <c r="BH251" i="8"/>
  <c r="BI251" i="8"/>
  <c r="BJ251" i="8"/>
  <c r="BH252" i="8"/>
  <c r="BI252" i="8"/>
  <c r="BJ252" i="8"/>
  <c r="BH253" i="8"/>
  <c r="BI253" i="8"/>
  <c r="BJ253" i="8"/>
  <c r="BH254" i="8"/>
  <c r="BI254" i="8"/>
  <c r="BJ254" i="8"/>
  <c r="BH255" i="8"/>
  <c r="BI255" i="8"/>
  <c r="BJ255" i="8"/>
  <c r="BG6" i="8"/>
  <c r="BG7" i="8"/>
  <c r="BG8" i="8"/>
  <c r="BG9" i="8"/>
  <c r="BG10" i="8"/>
  <c r="BG11" i="8"/>
  <c r="BG12" i="8"/>
  <c r="BG13" i="8"/>
  <c r="BG14" i="8"/>
  <c r="BG15" i="8"/>
  <c r="BG16" i="8"/>
  <c r="BG17" i="8"/>
  <c r="BG18" i="8"/>
  <c r="BG19" i="8"/>
  <c r="BG20" i="8"/>
  <c r="BG21" i="8"/>
  <c r="BG22" i="8"/>
  <c r="BG23" i="8"/>
  <c r="BG24" i="8"/>
  <c r="BG25" i="8"/>
  <c r="BG26" i="8"/>
  <c r="BG27" i="8"/>
  <c r="BG28" i="8"/>
  <c r="BG29" i="8"/>
  <c r="BG30" i="8"/>
  <c r="BG31" i="8"/>
  <c r="BG32" i="8"/>
  <c r="BG33" i="8"/>
  <c r="BG34" i="8"/>
  <c r="BG35" i="8"/>
  <c r="BG36" i="8"/>
  <c r="BG37" i="8"/>
  <c r="BG38" i="8"/>
  <c r="BG39" i="8"/>
  <c r="BG40" i="8"/>
  <c r="BG41" i="8"/>
  <c r="BG42" i="8"/>
  <c r="BG43" i="8"/>
  <c r="BG44" i="8"/>
  <c r="BG45" i="8"/>
  <c r="BG46" i="8"/>
  <c r="BG47" i="8"/>
  <c r="BG48" i="8"/>
  <c r="BG49" i="8"/>
  <c r="BG50" i="8"/>
  <c r="BG51" i="8"/>
  <c r="BG52" i="8"/>
  <c r="BG53" i="8"/>
  <c r="BG54" i="8"/>
  <c r="BG55" i="8"/>
  <c r="BG56" i="8"/>
  <c r="BG57" i="8"/>
  <c r="BG58" i="8"/>
  <c r="BG59" i="8"/>
  <c r="BG60" i="8"/>
  <c r="BG61" i="8"/>
  <c r="BG62" i="8"/>
  <c r="BG63" i="8"/>
  <c r="BG64" i="8"/>
  <c r="BG65" i="8"/>
  <c r="BG66" i="8"/>
  <c r="BG67" i="8"/>
  <c r="BG68" i="8"/>
  <c r="BG69" i="8"/>
  <c r="BG70" i="8"/>
  <c r="BG71" i="8"/>
  <c r="BG72" i="8"/>
  <c r="BG73" i="8"/>
  <c r="BG74" i="8"/>
  <c r="BG75" i="8"/>
  <c r="BG76" i="8"/>
  <c r="BG77" i="8"/>
  <c r="BG78" i="8"/>
  <c r="BG79" i="8"/>
  <c r="BG80" i="8"/>
  <c r="BG81" i="8"/>
  <c r="BG82" i="8"/>
  <c r="BG83" i="8"/>
  <c r="BG84" i="8"/>
  <c r="BG85" i="8"/>
  <c r="BG86" i="8"/>
  <c r="BG87" i="8"/>
  <c r="BG88" i="8"/>
  <c r="BG89" i="8"/>
  <c r="BG90" i="8"/>
  <c r="BG91" i="8"/>
  <c r="BG92" i="8"/>
  <c r="BG93" i="8"/>
  <c r="BG94" i="8"/>
  <c r="BG95" i="8"/>
  <c r="BG96" i="8"/>
  <c r="BG97" i="8"/>
  <c r="BG98" i="8"/>
  <c r="BG99" i="8"/>
  <c r="BG100" i="8"/>
  <c r="BG101" i="8"/>
  <c r="BG102" i="8"/>
  <c r="BG103" i="8"/>
  <c r="BG104" i="8"/>
  <c r="BG105" i="8"/>
  <c r="BG106" i="8"/>
  <c r="BG107" i="8"/>
  <c r="BG108" i="8"/>
  <c r="BG109" i="8"/>
  <c r="BG110" i="8"/>
  <c r="BG111" i="8"/>
  <c r="BG112" i="8"/>
  <c r="BG113" i="8"/>
  <c r="BG114" i="8"/>
  <c r="BG115" i="8"/>
  <c r="BG116" i="8"/>
  <c r="BG117" i="8"/>
  <c r="BG118" i="8"/>
  <c r="BG119" i="8"/>
  <c r="BG120" i="8"/>
  <c r="BG121" i="8"/>
  <c r="BG122" i="8"/>
  <c r="BG123" i="8"/>
  <c r="BG124" i="8"/>
  <c r="BG125" i="8"/>
  <c r="BG126" i="8"/>
  <c r="BG127" i="8"/>
  <c r="BG128" i="8"/>
  <c r="BG129" i="8"/>
  <c r="BG130" i="8"/>
  <c r="BG131" i="8"/>
  <c r="BG132" i="8"/>
  <c r="BG133" i="8"/>
  <c r="BG134" i="8"/>
  <c r="BG135" i="8"/>
  <c r="BG136" i="8"/>
  <c r="BG137" i="8"/>
  <c r="BG138" i="8"/>
  <c r="BG139" i="8"/>
  <c r="BG140" i="8"/>
  <c r="BG141" i="8"/>
  <c r="BG142" i="8"/>
  <c r="BG143" i="8"/>
  <c r="BG144" i="8"/>
  <c r="BG145" i="8"/>
  <c r="BG146" i="8"/>
  <c r="BG147" i="8"/>
  <c r="BG148" i="8"/>
  <c r="BG149" i="8"/>
  <c r="BG150" i="8"/>
  <c r="BG151" i="8"/>
  <c r="BG152" i="8"/>
  <c r="BG153" i="8"/>
  <c r="BG154" i="8"/>
  <c r="BG155" i="8"/>
  <c r="BG156" i="8"/>
  <c r="BG157" i="8"/>
  <c r="BG158" i="8"/>
  <c r="BG159" i="8"/>
  <c r="BG160" i="8"/>
  <c r="BG161" i="8"/>
  <c r="BG162" i="8"/>
  <c r="BG163" i="8"/>
  <c r="BG164" i="8"/>
  <c r="BG165" i="8"/>
  <c r="BG166" i="8"/>
  <c r="BG167" i="8"/>
  <c r="BG168" i="8"/>
  <c r="BG169" i="8"/>
  <c r="BG170" i="8"/>
  <c r="BG171" i="8"/>
  <c r="BG172" i="8"/>
  <c r="BG173" i="8"/>
  <c r="BG174" i="8"/>
  <c r="BG175" i="8"/>
  <c r="BG176" i="8"/>
  <c r="BG177" i="8"/>
  <c r="BG178" i="8"/>
  <c r="BG179" i="8"/>
  <c r="BG180" i="8"/>
  <c r="BG181" i="8"/>
  <c r="BG182" i="8"/>
  <c r="BG183" i="8"/>
  <c r="BG184" i="8"/>
  <c r="BG185" i="8"/>
  <c r="BG186" i="8"/>
  <c r="BG187" i="8"/>
  <c r="BG188" i="8"/>
  <c r="BG189" i="8"/>
  <c r="BG190" i="8"/>
  <c r="BG191" i="8"/>
  <c r="BG192" i="8"/>
  <c r="BG193" i="8"/>
  <c r="BG194" i="8"/>
  <c r="BG195" i="8"/>
  <c r="BG196" i="8"/>
  <c r="BG197" i="8"/>
  <c r="BG198" i="8"/>
  <c r="BG199" i="8"/>
  <c r="BG200" i="8"/>
  <c r="BG201" i="8"/>
  <c r="BG202" i="8"/>
  <c r="BG203" i="8"/>
  <c r="BG204" i="8"/>
  <c r="BG205" i="8"/>
  <c r="BG206" i="8"/>
  <c r="BG207" i="8"/>
  <c r="BG208" i="8"/>
  <c r="BG209" i="8"/>
  <c r="BG210" i="8"/>
  <c r="BG211" i="8"/>
  <c r="BG212" i="8"/>
  <c r="BG213" i="8"/>
  <c r="BG214" i="8"/>
  <c r="BG215" i="8"/>
  <c r="BG216" i="8"/>
  <c r="BG217" i="8"/>
  <c r="BG218" i="8"/>
  <c r="BG219" i="8"/>
  <c r="BG220" i="8"/>
  <c r="BG221" i="8"/>
  <c r="BG222" i="8"/>
  <c r="BG223" i="8"/>
  <c r="BG224" i="8"/>
  <c r="BG225" i="8"/>
  <c r="BG226" i="8"/>
  <c r="BG227" i="8"/>
  <c r="BG228" i="8"/>
  <c r="BG229" i="8"/>
  <c r="BG230" i="8"/>
  <c r="BG231" i="8"/>
  <c r="BG232" i="8"/>
  <c r="BG233" i="8"/>
  <c r="BG234" i="8"/>
  <c r="BG235" i="8"/>
  <c r="BG236" i="8"/>
  <c r="BG237" i="8"/>
  <c r="BG238" i="8"/>
  <c r="BG239" i="8"/>
  <c r="BG240" i="8"/>
  <c r="BG241" i="8"/>
  <c r="BG242" i="8"/>
  <c r="BG243" i="8"/>
  <c r="BG244" i="8"/>
  <c r="BG245" i="8"/>
  <c r="BG246" i="8"/>
  <c r="BG247" i="8"/>
  <c r="BG248" i="8"/>
  <c r="BG249" i="8"/>
  <c r="BG250" i="8"/>
  <c r="BG251" i="8"/>
  <c r="BG252" i="8"/>
  <c r="BG253" i="8"/>
  <c r="BG254" i="8"/>
  <c r="BG255" i="8"/>
  <c r="BG5" i="8"/>
  <c r="BE2" i="8"/>
  <c r="BE3" i="8"/>
  <c r="BE4" i="8"/>
  <c r="BE6" i="8"/>
  <c r="BE7" i="8"/>
  <c r="BE8" i="8"/>
  <c r="BE9" i="8"/>
  <c r="BE10" i="8"/>
  <c r="BE11" i="8"/>
  <c r="BE12" i="8"/>
  <c r="BE13" i="8"/>
  <c r="BE14" i="8"/>
  <c r="BE15" i="8"/>
  <c r="BE16" i="8"/>
  <c r="BE17" i="8"/>
  <c r="BE18" i="8"/>
  <c r="BE19" i="8"/>
  <c r="BE20" i="8"/>
  <c r="BE21" i="8"/>
  <c r="BE22" i="8"/>
  <c r="BE23" i="8"/>
  <c r="BE24" i="8"/>
  <c r="BE25" i="8"/>
  <c r="BE26" i="8"/>
  <c r="BE27" i="8"/>
  <c r="BE28" i="8"/>
  <c r="BE29" i="8"/>
  <c r="BE30" i="8"/>
  <c r="BE31" i="8"/>
  <c r="BE32" i="8"/>
  <c r="BE33" i="8"/>
  <c r="BE34" i="8"/>
  <c r="BE35" i="8"/>
  <c r="BE36" i="8"/>
  <c r="BE37" i="8"/>
  <c r="BE38" i="8"/>
  <c r="BE39" i="8"/>
  <c r="BE40" i="8"/>
  <c r="BE41" i="8"/>
  <c r="BE42" i="8"/>
  <c r="BE43" i="8"/>
  <c r="BE44" i="8"/>
  <c r="BE45" i="8"/>
  <c r="BE46" i="8"/>
  <c r="BE47" i="8"/>
  <c r="BE48" i="8"/>
  <c r="BE49" i="8"/>
  <c r="BE50" i="8"/>
  <c r="BE51" i="8"/>
  <c r="BE52" i="8"/>
  <c r="BE53" i="8"/>
  <c r="BE54" i="8"/>
  <c r="BE55" i="8"/>
  <c r="BE56" i="8"/>
  <c r="BE57" i="8"/>
  <c r="BE58" i="8"/>
  <c r="BE59" i="8"/>
  <c r="BE60" i="8"/>
  <c r="BE61" i="8"/>
  <c r="BE62" i="8"/>
  <c r="BE63" i="8"/>
  <c r="BE64" i="8"/>
  <c r="BE65" i="8"/>
  <c r="BE66" i="8"/>
  <c r="BE67" i="8"/>
  <c r="BE68" i="8"/>
  <c r="BE69" i="8"/>
  <c r="BE70" i="8"/>
  <c r="BE71" i="8"/>
  <c r="BE72" i="8"/>
  <c r="BE73" i="8"/>
  <c r="BE74" i="8"/>
  <c r="BE75" i="8"/>
  <c r="BE76" i="8"/>
  <c r="BE77" i="8"/>
  <c r="BE78" i="8"/>
  <c r="BE79" i="8"/>
  <c r="BE80" i="8"/>
  <c r="BE81" i="8"/>
  <c r="BE82" i="8"/>
  <c r="BE83" i="8"/>
  <c r="BE84" i="8"/>
  <c r="BE85" i="8"/>
  <c r="BE86" i="8"/>
  <c r="BE87" i="8"/>
  <c r="BE88" i="8"/>
  <c r="BE89" i="8"/>
  <c r="BE90" i="8"/>
  <c r="BE91" i="8"/>
  <c r="BE92" i="8"/>
  <c r="BE93" i="8"/>
  <c r="BE94" i="8"/>
  <c r="BE95" i="8"/>
  <c r="BE96" i="8"/>
  <c r="BE97" i="8"/>
  <c r="BE98" i="8"/>
  <c r="BE99" i="8"/>
  <c r="BE100" i="8"/>
  <c r="BE101" i="8"/>
  <c r="BE102" i="8"/>
  <c r="BE103" i="8"/>
  <c r="BE104" i="8"/>
  <c r="BE105" i="8"/>
  <c r="BE106" i="8"/>
  <c r="BE107" i="8"/>
  <c r="BE108" i="8"/>
  <c r="BE109" i="8"/>
  <c r="BE110" i="8"/>
  <c r="BE111" i="8"/>
  <c r="BE112" i="8"/>
  <c r="BE113" i="8"/>
  <c r="BE114" i="8"/>
  <c r="BE115" i="8"/>
  <c r="BE116" i="8"/>
  <c r="BE117" i="8"/>
  <c r="BE118" i="8"/>
  <c r="BE119" i="8"/>
  <c r="BE120" i="8"/>
  <c r="BE121" i="8"/>
  <c r="BE122" i="8"/>
  <c r="BE123" i="8"/>
  <c r="BE124" i="8"/>
  <c r="BE125" i="8"/>
  <c r="BE126" i="8"/>
  <c r="BE127" i="8"/>
  <c r="BE128" i="8"/>
  <c r="BE129" i="8"/>
  <c r="BE130" i="8"/>
  <c r="BE131" i="8"/>
  <c r="BE132" i="8"/>
  <c r="BE133" i="8"/>
  <c r="BE134" i="8"/>
  <c r="BE135" i="8"/>
  <c r="BE136" i="8"/>
  <c r="BE137" i="8"/>
  <c r="BE138" i="8"/>
  <c r="BE139" i="8"/>
  <c r="BE140" i="8"/>
  <c r="BE141" i="8"/>
  <c r="BE142" i="8"/>
  <c r="BE143" i="8"/>
  <c r="BE144" i="8"/>
  <c r="BE145" i="8"/>
  <c r="BE146" i="8"/>
  <c r="BE147" i="8"/>
  <c r="BE148" i="8"/>
  <c r="BE149" i="8"/>
  <c r="BE150" i="8"/>
  <c r="BE151" i="8"/>
  <c r="BE152" i="8"/>
  <c r="BE153" i="8"/>
  <c r="BE154" i="8"/>
  <c r="BE155" i="8"/>
  <c r="BE156" i="8"/>
  <c r="BE157" i="8"/>
  <c r="BE158" i="8"/>
  <c r="BE159" i="8"/>
  <c r="BE160" i="8"/>
  <c r="BE161" i="8"/>
  <c r="BE162" i="8"/>
  <c r="BE163" i="8"/>
  <c r="BE164" i="8"/>
  <c r="BE165" i="8"/>
  <c r="BE166" i="8"/>
  <c r="BE167" i="8"/>
  <c r="BE168" i="8"/>
  <c r="BE169" i="8"/>
  <c r="BE170" i="8"/>
  <c r="BE171" i="8"/>
  <c r="BE172" i="8"/>
  <c r="BE173" i="8"/>
  <c r="BE174" i="8"/>
  <c r="BE175" i="8"/>
  <c r="BE176" i="8"/>
  <c r="BE177" i="8"/>
  <c r="BE178" i="8"/>
  <c r="BE179" i="8"/>
  <c r="BE180" i="8"/>
  <c r="BE181" i="8"/>
  <c r="BE182" i="8"/>
  <c r="BE183" i="8"/>
  <c r="BE184" i="8"/>
  <c r="BE185" i="8"/>
  <c r="BE186" i="8"/>
  <c r="BE187" i="8"/>
  <c r="BE188" i="8"/>
  <c r="BE189" i="8"/>
  <c r="BE190" i="8"/>
  <c r="BE191" i="8"/>
  <c r="BE192" i="8"/>
  <c r="BE193" i="8"/>
  <c r="BE194" i="8"/>
  <c r="BE195" i="8"/>
  <c r="BE196" i="8"/>
  <c r="BE197" i="8"/>
  <c r="BE198" i="8"/>
  <c r="BE199" i="8"/>
  <c r="BE200" i="8"/>
  <c r="BE201" i="8"/>
  <c r="BE202" i="8"/>
  <c r="BE203" i="8"/>
  <c r="BE204" i="8"/>
  <c r="BE205" i="8"/>
  <c r="BE206" i="8"/>
  <c r="BE207" i="8"/>
  <c r="BE208" i="8"/>
  <c r="BE209" i="8"/>
  <c r="BE210" i="8"/>
  <c r="BE211" i="8"/>
  <c r="BE212" i="8"/>
  <c r="BE213" i="8"/>
  <c r="BE214" i="8"/>
  <c r="BE215" i="8"/>
  <c r="BE216" i="8"/>
  <c r="BE217" i="8"/>
  <c r="BE218" i="8"/>
  <c r="BE219" i="8"/>
  <c r="BE220" i="8"/>
  <c r="BE221" i="8"/>
  <c r="BE222" i="8"/>
  <c r="BE223" i="8"/>
  <c r="BE224" i="8"/>
  <c r="BE225" i="8"/>
  <c r="BE226" i="8"/>
  <c r="BE227" i="8"/>
  <c r="BE228" i="8"/>
  <c r="BE229" i="8"/>
  <c r="BE230" i="8"/>
  <c r="BE231" i="8"/>
  <c r="BE232" i="8"/>
  <c r="BE233" i="8"/>
  <c r="BE234" i="8"/>
  <c r="BE235" i="8"/>
  <c r="BE236" i="8"/>
  <c r="BE237" i="8"/>
  <c r="BE238" i="8"/>
  <c r="BE239" i="8"/>
  <c r="BE240" i="8"/>
  <c r="BE241" i="8"/>
  <c r="BE242" i="8"/>
  <c r="BE243" i="8"/>
  <c r="BE244" i="8"/>
  <c r="BE245" i="8"/>
  <c r="BE246" i="8"/>
  <c r="BE247" i="8"/>
  <c r="BE248" i="8"/>
  <c r="BE249" i="8"/>
  <c r="BE250" i="8"/>
  <c r="BE251" i="8"/>
  <c r="BE252" i="8"/>
  <c r="BE253" i="8"/>
  <c r="BE254" i="8"/>
  <c r="BE255" i="8"/>
  <c r="BE256" i="8"/>
  <c r="BE5" i="8"/>
  <c r="AN41" i="8"/>
  <c r="AO41" i="8"/>
  <c r="AP41" i="8"/>
  <c r="AQ41" i="8"/>
  <c r="AR41" i="8"/>
  <c r="AS41" i="8"/>
  <c r="AT41" i="8"/>
  <c r="AU41" i="8"/>
  <c r="AV41" i="8"/>
  <c r="AM41" i="8"/>
  <c r="AN40" i="8"/>
  <c r="AO40" i="8"/>
  <c r="AP40" i="8"/>
  <c r="AQ40" i="8"/>
  <c r="AR40" i="8"/>
  <c r="AS40" i="8"/>
  <c r="AT40" i="8"/>
  <c r="AU40" i="8"/>
  <c r="AV40" i="8"/>
  <c r="AM40" i="8"/>
  <c r="AN39" i="8"/>
  <c r="AO39" i="8"/>
  <c r="AP39" i="8"/>
  <c r="AQ39" i="8"/>
  <c r="AR39" i="8"/>
  <c r="AS39" i="8"/>
  <c r="AT39" i="8"/>
  <c r="AU39" i="8"/>
  <c r="AV39" i="8"/>
  <c r="AM39" i="8"/>
  <c r="AX40" i="8"/>
  <c r="AX36" i="8"/>
  <c r="AX37" i="8"/>
  <c r="AX38" i="8"/>
  <c r="AX35" i="8"/>
  <c r="AW36" i="8"/>
  <c r="AW37" i="8"/>
  <c r="AW38" i="8"/>
  <c r="AW35" i="8"/>
  <c r="AN35" i="8"/>
  <c r="AO35" i="8"/>
  <c r="AP35" i="8"/>
  <c r="AQ35" i="8"/>
  <c r="AR35" i="8"/>
  <c r="AS35" i="8"/>
  <c r="AT35" i="8"/>
  <c r="AU35" i="8"/>
  <c r="AV35" i="8"/>
  <c r="AN36" i="8"/>
  <c r="AO36" i="8"/>
  <c r="AP36" i="8"/>
  <c r="AQ36" i="8"/>
  <c r="AR36" i="8"/>
  <c r="AS36" i="8"/>
  <c r="AT36" i="8"/>
  <c r="AU36" i="8"/>
  <c r="AV36" i="8"/>
  <c r="AN37" i="8"/>
  <c r="AO37" i="8"/>
  <c r="AP37" i="8"/>
  <c r="AQ37" i="8"/>
  <c r="AR37" i="8"/>
  <c r="AS37" i="8"/>
  <c r="AT37" i="8"/>
  <c r="AU37" i="8"/>
  <c r="AV37" i="8"/>
  <c r="AN38" i="8"/>
  <c r="AO38" i="8"/>
  <c r="AP38" i="8"/>
  <c r="AQ38" i="8"/>
  <c r="AR38" i="8"/>
  <c r="AS38" i="8"/>
  <c r="AT38" i="8"/>
  <c r="AU38" i="8"/>
  <c r="AV38" i="8"/>
  <c r="AM36" i="8"/>
  <c r="AM37" i="8"/>
  <c r="AM38" i="8"/>
  <c r="AM35" i="8"/>
  <c r="AN28" i="8"/>
  <c r="AO28" i="8"/>
  <c r="AP28" i="8"/>
  <c r="AQ28" i="8"/>
  <c r="AR28" i="8"/>
  <c r="AS28" i="8"/>
  <c r="AT28" i="8"/>
  <c r="AU28" i="8"/>
  <c r="AU30" i="8" s="1"/>
  <c r="AV28" i="8"/>
  <c r="AM28" i="8"/>
  <c r="BC4" i="8"/>
  <c r="BB4" i="8"/>
  <c r="BC3" i="8"/>
  <c r="BB3" i="8"/>
  <c r="AN30" i="8"/>
  <c r="AO30" i="8"/>
  <c r="BD205" i="8" s="1"/>
  <c r="AP30" i="8"/>
  <c r="AQ30" i="8"/>
  <c r="AR30" i="8"/>
  <c r="AS30" i="8"/>
  <c r="AT30" i="8"/>
  <c r="AV30" i="8"/>
  <c r="AM30" i="8"/>
  <c r="AN29" i="8"/>
  <c r="AO29" i="8"/>
  <c r="AP29" i="8"/>
  <c r="AQ29" i="8"/>
  <c r="AR29" i="8"/>
  <c r="AS29" i="8"/>
  <c r="AT29" i="8"/>
  <c r="AU29" i="8"/>
  <c r="AV29" i="8"/>
  <c r="AM29" i="8"/>
  <c r="AW25" i="8"/>
  <c r="AW26" i="8"/>
  <c r="AW27" i="8"/>
  <c r="AW24" i="8"/>
  <c r="AN24" i="8"/>
  <c r="AO24" i="8"/>
  <c r="AP24" i="8"/>
  <c r="AQ24" i="8"/>
  <c r="AR24" i="8"/>
  <c r="AS24" i="8"/>
  <c r="AT24" i="8"/>
  <c r="AU24" i="8"/>
  <c r="AV24" i="8"/>
  <c r="AN25" i="8"/>
  <c r="AO25" i="8"/>
  <c r="AP25" i="8"/>
  <c r="AQ25" i="8"/>
  <c r="AR25" i="8"/>
  <c r="AS25" i="8"/>
  <c r="AT25" i="8"/>
  <c r="AU25" i="8"/>
  <c r="AV25" i="8"/>
  <c r="AN26" i="8"/>
  <c r="AO26" i="8"/>
  <c r="AP26" i="8"/>
  <c r="AQ26" i="8"/>
  <c r="AR26" i="8"/>
  <c r="AS26" i="8"/>
  <c r="AT26" i="8"/>
  <c r="AU26" i="8"/>
  <c r="AV26" i="8"/>
  <c r="AN27" i="8"/>
  <c r="AO27" i="8"/>
  <c r="AP27" i="8"/>
  <c r="AQ27" i="8"/>
  <c r="AR27" i="8"/>
  <c r="AS27" i="8"/>
  <c r="AT27" i="8"/>
  <c r="AU27" i="8"/>
  <c r="AV27" i="8"/>
  <c r="AM25" i="8"/>
  <c r="AM26" i="8"/>
  <c r="AM27" i="8"/>
  <c r="AM24" i="8"/>
  <c r="AW18" i="8"/>
  <c r="AW19" i="8"/>
  <c r="AW20" i="8"/>
  <c r="AW17" i="8"/>
  <c r="AN17" i="8"/>
  <c r="AO17" i="8"/>
  <c r="AP17" i="8"/>
  <c r="AQ17" i="8"/>
  <c r="AR17" i="8"/>
  <c r="AS17" i="8"/>
  <c r="AT17" i="8"/>
  <c r="AU17" i="8"/>
  <c r="AV17" i="8"/>
  <c r="AN18" i="8"/>
  <c r="AO18" i="8"/>
  <c r="AP18" i="8"/>
  <c r="AQ18" i="8"/>
  <c r="AR18" i="8"/>
  <c r="AS18" i="8"/>
  <c r="AT18" i="8"/>
  <c r="AU18" i="8"/>
  <c r="AV18" i="8"/>
  <c r="AN19" i="8"/>
  <c r="AO19" i="8"/>
  <c r="AP19" i="8"/>
  <c r="AQ19" i="8"/>
  <c r="AR19" i="8"/>
  <c r="AS19" i="8"/>
  <c r="AT19" i="8"/>
  <c r="AU19" i="8"/>
  <c r="AV19" i="8"/>
  <c r="AN20" i="8"/>
  <c r="AO20" i="8"/>
  <c r="AP20" i="8"/>
  <c r="AQ20" i="8"/>
  <c r="AR20" i="8"/>
  <c r="AS20" i="8"/>
  <c r="AT20" i="8"/>
  <c r="AU20" i="8"/>
  <c r="AV20" i="8"/>
  <c r="AM18" i="8"/>
  <c r="AM19" i="8"/>
  <c r="AM20" i="8"/>
  <c r="AM17" i="8"/>
  <c r="BC2" i="8"/>
  <c r="BC6" i="8"/>
  <c r="BC7" i="8"/>
  <c r="BC8" i="8"/>
  <c r="BC9" i="8"/>
  <c r="BC10" i="8"/>
  <c r="BC11" i="8"/>
  <c r="BC12" i="8"/>
  <c r="BC13" i="8"/>
  <c r="BC14" i="8"/>
  <c r="BC15" i="8"/>
  <c r="BC16" i="8"/>
  <c r="BC17" i="8"/>
  <c r="BC18" i="8"/>
  <c r="BC19" i="8"/>
  <c r="BC20" i="8"/>
  <c r="BC21" i="8"/>
  <c r="BC22" i="8"/>
  <c r="BC23" i="8"/>
  <c r="BC24" i="8"/>
  <c r="BC25" i="8"/>
  <c r="BC26" i="8"/>
  <c r="BC27" i="8"/>
  <c r="BC28" i="8"/>
  <c r="BC29" i="8"/>
  <c r="BC30" i="8"/>
  <c r="BC31" i="8"/>
  <c r="BC32" i="8"/>
  <c r="BC33" i="8"/>
  <c r="BC34" i="8"/>
  <c r="BC35" i="8"/>
  <c r="BC36" i="8"/>
  <c r="BC37" i="8"/>
  <c r="BC38" i="8"/>
  <c r="BC39" i="8"/>
  <c r="BC40" i="8"/>
  <c r="BC41" i="8"/>
  <c r="BC42" i="8"/>
  <c r="BC43" i="8"/>
  <c r="BC44" i="8"/>
  <c r="BC45" i="8"/>
  <c r="BC46" i="8"/>
  <c r="BC47" i="8"/>
  <c r="BC48" i="8"/>
  <c r="BC49" i="8"/>
  <c r="BC50" i="8"/>
  <c r="BC51" i="8"/>
  <c r="BC52" i="8"/>
  <c r="BC53" i="8"/>
  <c r="BC54" i="8"/>
  <c r="BC55" i="8"/>
  <c r="BC56" i="8"/>
  <c r="BC57" i="8"/>
  <c r="BC58" i="8"/>
  <c r="BC59" i="8"/>
  <c r="BC60" i="8"/>
  <c r="BC61" i="8"/>
  <c r="BC62" i="8"/>
  <c r="BC63" i="8"/>
  <c r="BC64" i="8"/>
  <c r="BC65" i="8"/>
  <c r="BC66" i="8"/>
  <c r="BC67" i="8"/>
  <c r="BC68" i="8"/>
  <c r="BC69" i="8"/>
  <c r="BC70" i="8"/>
  <c r="BC71" i="8"/>
  <c r="BC72" i="8"/>
  <c r="BC73" i="8"/>
  <c r="BC74" i="8"/>
  <c r="BC75" i="8"/>
  <c r="BC76" i="8"/>
  <c r="BC77" i="8"/>
  <c r="BC78" i="8"/>
  <c r="BC79" i="8"/>
  <c r="BC80" i="8"/>
  <c r="BC81" i="8"/>
  <c r="BC82" i="8"/>
  <c r="BC83" i="8"/>
  <c r="BC84" i="8"/>
  <c r="BC85" i="8"/>
  <c r="BC86" i="8"/>
  <c r="BC87" i="8"/>
  <c r="BC88" i="8"/>
  <c r="BC89" i="8"/>
  <c r="BC90" i="8"/>
  <c r="BC91" i="8"/>
  <c r="BC92" i="8"/>
  <c r="BC93" i="8"/>
  <c r="BC94" i="8"/>
  <c r="BC95" i="8"/>
  <c r="BC96" i="8"/>
  <c r="BC97" i="8"/>
  <c r="BC98" i="8"/>
  <c r="BC99" i="8"/>
  <c r="BC100" i="8"/>
  <c r="BC101" i="8"/>
  <c r="BC102" i="8"/>
  <c r="BC103" i="8"/>
  <c r="BC104" i="8"/>
  <c r="BC105" i="8"/>
  <c r="BC106" i="8"/>
  <c r="BC107" i="8"/>
  <c r="BC108" i="8"/>
  <c r="BC109" i="8"/>
  <c r="BC110" i="8"/>
  <c r="BC111" i="8"/>
  <c r="BC112" i="8"/>
  <c r="BC113" i="8"/>
  <c r="BC114" i="8"/>
  <c r="BC115" i="8"/>
  <c r="BC116" i="8"/>
  <c r="BC117" i="8"/>
  <c r="BC118" i="8"/>
  <c r="BC119" i="8"/>
  <c r="BC120" i="8"/>
  <c r="BC121" i="8"/>
  <c r="BC122" i="8"/>
  <c r="BC123" i="8"/>
  <c r="BC124" i="8"/>
  <c r="BC125" i="8"/>
  <c r="BC126" i="8"/>
  <c r="BC127" i="8"/>
  <c r="BC128" i="8"/>
  <c r="BC129" i="8"/>
  <c r="BC130" i="8"/>
  <c r="BC131" i="8"/>
  <c r="BC132" i="8"/>
  <c r="BC133" i="8"/>
  <c r="BC134" i="8"/>
  <c r="BC135" i="8"/>
  <c r="BC136" i="8"/>
  <c r="BC137" i="8"/>
  <c r="BC138" i="8"/>
  <c r="BC139" i="8"/>
  <c r="BC140" i="8"/>
  <c r="BC141" i="8"/>
  <c r="BC142" i="8"/>
  <c r="BC143" i="8"/>
  <c r="BC144" i="8"/>
  <c r="BC145" i="8"/>
  <c r="BC146" i="8"/>
  <c r="BC147" i="8"/>
  <c r="BC148" i="8"/>
  <c r="BC149" i="8"/>
  <c r="BC150" i="8"/>
  <c r="BC151" i="8"/>
  <c r="BC152" i="8"/>
  <c r="BC153" i="8"/>
  <c r="BC154" i="8"/>
  <c r="BC155" i="8"/>
  <c r="BC156" i="8"/>
  <c r="BC157" i="8"/>
  <c r="BC158" i="8"/>
  <c r="BC159" i="8"/>
  <c r="BC160" i="8"/>
  <c r="BC161" i="8"/>
  <c r="BC162" i="8"/>
  <c r="BC163" i="8"/>
  <c r="BC164" i="8"/>
  <c r="BC165" i="8"/>
  <c r="BC166" i="8"/>
  <c r="BC167" i="8"/>
  <c r="BC168" i="8"/>
  <c r="BC169" i="8"/>
  <c r="BC170" i="8"/>
  <c r="BC171" i="8"/>
  <c r="BC172" i="8"/>
  <c r="BC173" i="8"/>
  <c r="BC174" i="8"/>
  <c r="BC175" i="8"/>
  <c r="BC176" i="8"/>
  <c r="BC177" i="8"/>
  <c r="BC178" i="8"/>
  <c r="BC179" i="8"/>
  <c r="BC180" i="8"/>
  <c r="BC181" i="8"/>
  <c r="BC182" i="8"/>
  <c r="BC183" i="8"/>
  <c r="BC184" i="8"/>
  <c r="BC185" i="8"/>
  <c r="BC186" i="8"/>
  <c r="BC187" i="8"/>
  <c r="BC188" i="8"/>
  <c r="BC189" i="8"/>
  <c r="BC190" i="8"/>
  <c r="BC191" i="8"/>
  <c r="BC192" i="8"/>
  <c r="BC193" i="8"/>
  <c r="BC194" i="8"/>
  <c r="BC195" i="8"/>
  <c r="BC196" i="8"/>
  <c r="BC197" i="8"/>
  <c r="BC198" i="8"/>
  <c r="BC199" i="8"/>
  <c r="BC200" i="8"/>
  <c r="BC201" i="8"/>
  <c r="BC202" i="8"/>
  <c r="BC203" i="8"/>
  <c r="BC204" i="8"/>
  <c r="BC205" i="8"/>
  <c r="BC206" i="8"/>
  <c r="BC207" i="8"/>
  <c r="BC208" i="8"/>
  <c r="BC209" i="8"/>
  <c r="BC210" i="8"/>
  <c r="BC211" i="8"/>
  <c r="BC212" i="8"/>
  <c r="BC213" i="8"/>
  <c r="BC214" i="8"/>
  <c r="BC215" i="8"/>
  <c r="BC216" i="8"/>
  <c r="BC217" i="8"/>
  <c r="BC218" i="8"/>
  <c r="BC219" i="8"/>
  <c r="BC220" i="8"/>
  <c r="BC221" i="8"/>
  <c r="BC222" i="8"/>
  <c r="BC223" i="8"/>
  <c r="BC224" i="8"/>
  <c r="BC225" i="8"/>
  <c r="BC226" i="8"/>
  <c r="BC227" i="8"/>
  <c r="BC228" i="8"/>
  <c r="BC229" i="8"/>
  <c r="BC230" i="8"/>
  <c r="BC231" i="8"/>
  <c r="BC232" i="8"/>
  <c r="BC233" i="8"/>
  <c r="BC234" i="8"/>
  <c r="BC235" i="8"/>
  <c r="BC236" i="8"/>
  <c r="BC237" i="8"/>
  <c r="BC238" i="8"/>
  <c r="BC239" i="8"/>
  <c r="BC240" i="8"/>
  <c r="BC241" i="8"/>
  <c r="BC242" i="8"/>
  <c r="BC243" i="8"/>
  <c r="BC244" i="8"/>
  <c r="BC245" i="8"/>
  <c r="BC246" i="8"/>
  <c r="BC247" i="8"/>
  <c r="BC248" i="8"/>
  <c r="BC249" i="8"/>
  <c r="BC250" i="8"/>
  <c r="BC251" i="8"/>
  <c r="BC252" i="8"/>
  <c r="BC253" i="8"/>
  <c r="BC254" i="8"/>
  <c r="BC255" i="8"/>
  <c r="BC256" i="8"/>
  <c r="BC5" i="8"/>
  <c r="AN13" i="8"/>
  <c r="AO13" i="8"/>
  <c r="AP13" i="8"/>
  <c r="AQ13" i="8"/>
  <c r="AR13" i="8"/>
  <c r="AS13" i="8"/>
  <c r="AT13" i="8"/>
  <c r="AU13" i="8"/>
  <c r="AV13" i="8"/>
  <c r="AM13" i="8"/>
  <c r="AN12" i="8"/>
  <c r="AO12" i="8"/>
  <c r="AP12" i="8"/>
  <c r="AQ12" i="8"/>
  <c r="AR12" i="8"/>
  <c r="AS12" i="8"/>
  <c r="AT12" i="8"/>
  <c r="AU12" i="8"/>
  <c r="AV12" i="8"/>
  <c r="AN4" i="8"/>
  <c r="AO4" i="8"/>
  <c r="AP4" i="8"/>
  <c r="AQ4" i="8"/>
  <c r="AR4" i="8"/>
  <c r="AS4" i="8"/>
  <c r="AT4" i="8"/>
  <c r="AU4" i="8"/>
  <c r="AU5" i="8" s="1"/>
  <c r="AV4" i="8"/>
  <c r="AM4" i="8"/>
  <c r="AM12" i="8"/>
  <c r="AW11" i="8"/>
  <c r="AN11" i="8"/>
  <c r="AO11" i="8"/>
  <c r="AP11" i="8"/>
  <c r="AQ11" i="8"/>
  <c r="AR11" i="8"/>
  <c r="AS11" i="8"/>
  <c r="AT11" i="8"/>
  <c r="AU11" i="8"/>
  <c r="AV11" i="8"/>
  <c r="AM11" i="8"/>
  <c r="AW10" i="8"/>
  <c r="AN10" i="8"/>
  <c r="AO10" i="8"/>
  <c r="AP10" i="8"/>
  <c r="AQ10" i="8"/>
  <c r="AR10" i="8"/>
  <c r="AS10" i="8"/>
  <c r="AT10" i="8"/>
  <c r="AU10" i="8"/>
  <c r="AV10" i="8"/>
  <c r="AM10" i="8"/>
  <c r="AN9" i="8"/>
  <c r="AO9" i="8"/>
  <c r="AP9" i="8"/>
  <c r="AQ9" i="8"/>
  <c r="AR9" i="8"/>
  <c r="AS9" i="8"/>
  <c r="AT9" i="8"/>
  <c r="AU9" i="8"/>
  <c r="AV9" i="8"/>
  <c r="AM9" i="8"/>
  <c r="AZ236" i="8"/>
  <c r="BA236" i="8"/>
  <c r="BA237" i="8" s="1"/>
  <c r="BA238" i="8" s="1"/>
  <c r="BA239" i="8" s="1"/>
  <c r="BA240" i="8" s="1"/>
  <c r="BA241" i="8" s="1"/>
  <c r="BA242" i="8" s="1"/>
  <c r="BA243" i="8" s="1"/>
  <c r="BA244" i="8" s="1"/>
  <c r="BA245" i="8" s="1"/>
  <c r="BA246" i="8" s="1"/>
  <c r="BA247" i="8" s="1"/>
  <c r="BA248" i="8" s="1"/>
  <c r="BA249" i="8" s="1"/>
  <c r="BA250" i="8" s="1"/>
  <c r="BA251" i="8" s="1"/>
  <c r="BA252" i="8" s="1"/>
  <c r="BA253" i="8" s="1"/>
  <c r="BA254" i="8" s="1"/>
  <c r="BA255" i="8" s="1"/>
  <c r="BA256" i="8" s="1"/>
  <c r="AZ237" i="8"/>
  <c r="AZ238" i="8"/>
  <c r="AZ239" i="8"/>
  <c r="AZ240" i="8"/>
  <c r="AZ241" i="8"/>
  <c r="AZ242" i="8"/>
  <c r="AZ243" i="8"/>
  <c r="AZ244" i="8"/>
  <c r="AZ245" i="8"/>
  <c r="AZ246" i="8"/>
  <c r="AZ247" i="8"/>
  <c r="AZ248" i="8"/>
  <c r="AZ249" i="8"/>
  <c r="AZ250" i="8"/>
  <c r="AZ251" i="8"/>
  <c r="AZ252" i="8"/>
  <c r="AZ253" i="8"/>
  <c r="AZ254" i="8"/>
  <c r="AZ255" i="8"/>
  <c r="AZ256" i="8"/>
  <c r="AZ7" i="8"/>
  <c r="BA7" i="8"/>
  <c r="BA8" i="8" s="1"/>
  <c r="BA9" i="8" s="1"/>
  <c r="BA10" i="8" s="1"/>
  <c r="BA11" i="8" s="1"/>
  <c r="BA12" i="8" s="1"/>
  <c r="BA13" i="8" s="1"/>
  <c r="BA14" i="8" s="1"/>
  <c r="BA15" i="8" s="1"/>
  <c r="BA16" i="8" s="1"/>
  <c r="BA17" i="8" s="1"/>
  <c r="BA18" i="8" s="1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0" i="8" s="1"/>
  <c r="BA31" i="8" s="1"/>
  <c r="BA32" i="8" s="1"/>
  <c r="BA33" i="8" s="1"/>
  <c r="BA34" i="8" s="1"/>
  <c r="BA35" i="8" s="1"/>
  <c r="BA36" i="8" s="1"/>
  <c r="BA37" i="8" s="1"/>
  <c r="BA38" i="8" s="1"/>
  <c r="BA39" i="8" s="1"/>
  <c r="BA40" i="8" s="1"/>
  <c r="BA41" i="8" s="1"/>
  <c r="BA42" i="8" s="1"/>
  <c r="BA43" i="8" s="1"/>
  <c r="BA44" i="8" s="1"/>
  <c r="BA45" i="8" s="1"/>
  <c r="BA46" i="8" s="1"/>
  <c r="BA47" i="8" s="1"/>
  <c r="BA48" i="8" s="1"/>
  <c r="BA49" i="8" s="1"/>
  <c r="BA50" i="8" s="1"/>
  <c r="BA51" i="8" s="1"/>
  <c r="BA52" i="8" s="1"/>
  <c r="BA53" i="8" s="1"/>
  <c r="BA54" i="8" s="1"/>
  <c r="BA55" i="8" s="1"/>
  <c r="BA56" i="8" s="1"/>
  <c r="BA57" i="8" s="1"/>
  <c r="BA58" i="8" s="1"/>
  <c r="BA59" i="8" s="1"/>
  <c r="BA60" i="8" s="1"/>
  <c r="BA61" i="8" s="1"/>
  <c r="BA62" i="8" s="1"/>
  <c r="BA63" i="8" s="1"/>
  <c r="BA64" i="8" s="1"/>
  <c r="BA65" i="8" s="1"/>
  <c r="BA66" i="8" s="1"/>
  <c r="BA67" i="8" s="1"/>
  <c r="BA68" i="8" s="1"/>
  <c r="BA69" i="8" s="1"/>
  <c r="BA70" i="8" s="1"/>
  <c r="BA71" i="8" s="1"/>
  <c r="BA72" i="8" s="1"/>
  <c r="BA73" i="8" s="1"/>
  <c r="BA74" i="8" s="1"/>
  <c r="BA75" i="8" s="1"/>
  <c r="BA76" i="8" s="1"/>
  <c r="BA77" i="8" s="1"/>
  <c r="BA78" i="8" s="1"/>
  <c r="BA79" i="8" s="1"/>
  <c r="BA80" i="8" s="1"/>
  <c r="BA81" i="8" s="1"/>
  <c r="BA82" i="8" s="1"/>
  <c r="BA83" i="8" s="1"/>
  <c r="BA84" i="8" s="1"/>
  <c r="BA85" i="8" s="1"/>
  <c r="BA86" i="8" s="1"/>
  <c r="BA87" i="8" s="1"/>
  <c r="BA88" i="8" s="1"/>
  <c r="BA89" i="8" s="1"/>
  <c r="BA90" i="8" s="1"/>
  <c r="BA91" i="8" s="1"/>
  <c r="BA92" i="8" s="1"/>
  <c r="BA93" i="8" s="1"/>
  <c r="BA94" i="8" s="1"/>
  <c r="BA95" i="8" s="1"/>
  <c r="BA96" i="8" s="1"/>
  <c r="BA97" i="8" s="1"/>
  <c r="BA98" i="8" s="1"/>
  <c r="BA99" i="8" s="1"/>
  <c r="BA100" i="8" s="1"/>
  <c r="BA101" i="8" s="1"/>
  <c r="BA102" i="8" s="1"/>
  <c r="BA103" i="8" s="1"/>
  <c r="BA104" i="8" s="1"/>
  <c r="BA105" i="8" s="1"/>
  <c r="BA106" i="8" s="1"/>
  <c r="BA107" i="8" s="1"/>
  <c r="BA108" i="8" s="1"/>
  <c r="BA109" i="8" s="1"/>
  <c r="BA110" i="8" s="1"/>
  <c r="BA111" i="8" s="1"/>
  <c r="BA112" i="8" s="1"/>
  <c r="BA113" i="8" s="1"/>
  <c r="BA114" i="8" s="1"/>
  <c r="BA115" i="8" s="1"/>
  <c r="BA116" i="8" s="1"/>
  <c r="BA117" i="8" s="1"/>
  <c r="BA118" i="8" s="1"/>
  <c r="BA119" i="8" s="1"/>
  <c r="BA120" i="8" s="1"/>
  <c r="BA121" i="8" s="1"/>
  <c r="BA122" i="8" s="1"/>
  <c r="BA123" i="8" s="1"/>
  <c r="BA124" i="8" s="1"/>
  <c r="BA125" i="8" s="1"/>
  <c r="BA126" i="8" s="1"/>
  <c r="BA127" i="8" s="1"/>
  <c r="BA128" i="8" s="1"/>
  <c r="BA129" i="8" s="1"/>
  <c r="BA130" i="8" s="1"/>
  <c r="BA131" i="8" s="1"/>
  <c r="BA132" i="8" s="1"/>
  <c r="BA133" i="8" s="1"/>
  <c r="BA134" i="8" s="1"/>
  <c r="BA135" i="8" s="1"/>
  <c r="BA136" i="8" s="1"/>
  <c r="BA137" i="8" s="1"/>
  <c r="BA138" i="8" s="1"/>
  <c r="BA139" i="8" s="1"/>
  <c r="BA140" i="8" s="1"/>
  <c r="BA141" i="8" s="1"/>
  <c r="BA142" i="8" s="1"/>
  <c r="BA143" i="8" s="1"/>
  <c r="BA144" i="8" s="1"/>
  <c r="BA145" i="8" s="1"/>
  <c r="BA146" i="8" s="1"/>
  <c r="BA147" i="8" s="1"/>
  <c r="BA148" i="8" s="1"/>
  <c r="BA149" i="8" s="1"/>
  <c r="BA150" i="8" s="1"/>
  <c r="BA151" i="8" s="1"/>
  <c r="BA152" i="8" s="1"/>
  <c r="BA153" i="8" s="1"/>
  <c r="BA154" i="8" s="1"/>
  <c r="BA155" i="8" s="1"/>
  <c r="BA156" i="8" s="1"/>
  <c r="BA157" i="8" s="1"/>
  <c r="BA158" i="8" s="1"/>
  <c r="BA159" i="8" s="1"/>
  <c r="BA160" i="8" s="1"/>
  <c r="BA161" i="8" s="1"/>
  <c r="BA162" i="8" s="1"/>
  <c r="BA163" i="8" s="1"/>
  <c r="BA164" i="8" s="1"/>
  <c r="BA165" i="8" s="1"/>
  <c r="BA166" i="8" s="1"/>
  <c r="BA167" i="8" s="1"/>
  <c r="BA168" i="8" s="1"/>
  <c r="BA169" i="8" s="1"/>
  <c r="BA170" i="8" s="1"/>
  <c r="BA171" i="8" s="1"/>
  <c r="BA172" i="8" s="1"/>
  <c r="BA173" i="8" s="1"/>
  <c r="BA174" i="8" s="1"/>
  <c r="BA175" i="8" s="1"/>
  <c r="BA176" i="8" s="1"/>
  <c r="BA177" i="8" s="1"/>
  <c r="BA178" i="8" s="1"/>
  <c r="BA179" i="8" s="1"/>
  <c r="BA180" i="8" s="1"/>
  <c r="BA181" i="8" s="1"/>
  <c r="BA182" i="8" s="1"/>
  <c r="BA183" i="8" s="1"/>
  <c r="BA184" i="8" s="1"/>
  <c r="BA185" i="8" s="1"/>
  <c r="BA186" i="8" s="1"/>
  <c r="BA187" i="8" s="1"/>
  <c r="BA188" i="8" s="1"/>
  <c r="BA189" i="8" s="1"/>
  <c r="BA190" i="8" s="1"/>
  <c r="BA191" i="8" s="1"/>
  <c r="BA192" i="8" s="1"/>
  <c r="BA193" i="8" s="1"/>
  <c r="BA194" i="8" s="1"/>
  <c r="BA195" i="8" s="1"/>
  <c r="BA196" i="8" s="1"/>
  <c r="BA197" i="8" s="1"/>
  <c r="BA198" i="8" s="1"/>
  <c r="BA199" i="8" s="1"/>
  <c r="BA200" i="8" s="1"/>
  <c r="BA201" i="8" s="1"/>
  <c r="BA202" i="8" s="1"/>
  <c r="BA203" i="8" s="1"/>
  <c r="BA204" i="8" s="1"/>
  <c r="BA205" i="8" s="1"/>
  <c r="BA206" i="8" s="1"/>
  <c r="BA207" i="8" s="1"/>
  <c r="BA208" i="8" s="1"/>
  <c r="BA209" i="8" s="1"/>
  <c r="BA210" i="8" s="1"/>
  <c r="BA211" i="8" s="1"/>
  <c r="BA212" i="8" s="1"/>
  <c r="BA213" i="8" s="1"/>
  <c r="BA214" i="8" s="1"/>
  <c r="BA215" i="8" s="1"/>
  <c r="BA216" i="8" s="1"/>
  <c r="BA217" i="8" s="1"/>
  <c r="BA218" i="8" s="1"/>
  <c r="BA219" i="8" s="1"/>
  <c r="BA220" i="8" s="1"/>
  <c r="BA221" i="8" s="1"/>
  <c r="BA222" i="8" s="1"/>
  <c r="BA223" i="8" s="1"/>
  <c r="BA224" i="8" s="1"/>
  <c r="BA225" i="8" s="1"/>
  <c r="BA226" i="8" s="1"/>
  <c r="BA227" i="8" s="1"/>
  <c r="BA228" i="8" s="1"/>
  <c r="BA229" i="8" s="1"/>
  <c r="BA230" i="8" s="1"/>
  <c r="BA231" i="8" s="1"/>
  <c r="BA232" i="8" s="1"/>
  <c r="BA233" i="8" s="1"/>
  <c r="BA234" i="8" s="1"/>
  <c r="BA235" i="8" s="1"/>
  <c r="AZ8" i="8"/>
  <c r="AZ9" i="8"/>
  <c r="AZ10" i="8"/>
  <c r="AZ11" i="8"/>
  <c r="AZ12" i="8"/>
  <c r="AZ13" i="8"/>
  <c r="AZ14" i="8"/>
  <c r="AZ15" i="8"/>
  <c r="AZ16" i="8"/>
  <c r="AZ17" i="8"/>
  <c r="AZ18" i="8"/>
  <c r="AZ19" i="8"/>
  <c r="AZ20" i="8"/>
  <c r="AZ21" i="8"/>
  <c r="AZ22" i="8"/>
  <c r="AZ23" i="8"/>
  <c r="AZ24" i="8"/>
  <c r="AZ25" i="8"/>
  <c r="AZ26" i="8"/>
  <c r="AZ27" i="8"/>
  <c r="AZ28" i="8"/>
  <c r="AZ29" i="8"/>
  <c r="AZ30" i="8"/>
  <c r="AZ31" i="8"/>
  <c r="AZ32" i="8"/>
  <c r="AZ33" i="8"/>
  <c r="AZ34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3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0" i="8"/>
  <c r="AZ71" i="8"/>
  <c r="AZ72" i="8"/>
  <c r="AZ73" i="8"/>
  <c r="AZ74" i="8"/>
  <c r="AZ75" i="8"/>
  <c r="AZ76" i="8"/>
  <c r="AZ77" i="8"/>
  <c r="AZ78" i="8"/>
  <c r="AZ79" i="8"/>
  <c r="AZ80" i="8"/>
  <c r="AZ81" i="8"/>
  <c r="AZ82" i="8"/>
  <c r="AZ83" i="8"/>
  <c r="AZ84" i="8"/>
  <c r="AZ85" i="8"/>
  <c r="AZ86" i="8"/>
  <c r="AZ87" i="8"/>
  <c r="AZ88" i="8"/>
  <c r="AZ89" i="8"/>
  <c r="AZ90" i="8"/>
  <c r="AZ91" i="8"/>
  <c r="AZ92" i="8"/>
  <c r="AZ93" i="8"/>
  <c r="AZ94" i="8"/>
  <c r="AZ95" i="8"/>
  <c r="AZ96" i="8"/>
  <c r="AZ97" i="8"/>
  <c r="AZ98" i="8"/>
  <c r="AZ99" i="8"/>
  <c r="AZ100" i="8"/>
  <c r="AZ101" i="8"/>
  <c r="AZ102" i="8"/>
  <c r="AZ103" i="8"/>
  <c r="AZ104" i="8"/>
  <c r="AZ105" i="8"/>
  <c r="AZ106" i="8"/>
  <c r="AZ107" i="8"/>
  <c r="AZ108" i="8"/>
  <c r="AZ109" i="8"/>
  <c r="AZ110" i="8"/>
  <c r="AZ111" i="8"/>
  <c r="AZ112" i="8"/>
  <c r="AZ113" i="8"/>
  <c r="AZ114" i="8"/>
  <c r="AZ115" i="8"/>
  <c r="AZ116" i="8"/>
  <c r="AZ117" i="8"/>
  <c r="AZ118" i="8"/>
  <c r="AZ119" i="8"/>
  <c r="AZ120" i="8"/>
  <c r="AZ121" i="8"/>
  <c r="AZ122" i="8"/>
  <c r="AZ123" i="8"/>
  <c r="AZ124" i="8"/>
  <c r="AZ125" i="8"/>
  <c r="AZ126" i="8"/>
  <c r="AZ127" i="8"/>
  <c r="AZ128" i="8"/>
  <c r="AZ129" i="8"/>
  <c r="AZ130" i="8"/>
  <c r="AZ131" i="8"/>
  <c r="AZ132" i="8"/>
  <c r="AZ133" i="8"/>
  <c r="AZ134" i="8"/>
  <c r="AZ135" i="8"/>
  <c r="AZ136" i="8"/>
  <c r="AZ137" i="8"/>
  <c r="AZ138" i="8"/>
  <c r="AZ139" i="8"/>
  <c r="AZ140" i="8"/>
  <c r="AZ141" i="8"/>
  <c r="AZ142" i="8"/>
  <c r="AZ143" i="8"/>
  <c r="AZ144" i="8"/>
  <c r="AZ145" i="8"/>
  <c r="AZ146" i="8"/>
  <c r="AZ147" i="8"/>
  <c r="AZ148" i="8"/>
  <c r="AZ149" i="8"/>
  <c r="AZ150" i="8"/>
  <c r="AZ151" i="8"/>
  <c r="AZ152" i="8"/>
  <c r="AZ153" i="8"/>
  <c r="AZ154" i="8"/>
  <c r="AZ155" i="8"/>
  <c r="AZ156" i="8"/>
  <c r="AZ157" i="8"/>
  <c r="AZ158" i="8"/>
  <c r="AZ159" i="8"/>
  <c r="AZ160" i="8"/>
  <c r="AZ161" i="8"/>
  <c r="AZ162" i="8"/>
  <c r="AZ163" i="8"/>
  <c r="AZ164" i="8"/>
  <c r="AZ165" i="8"/>
  <c r="AZ166" i="8"/>
  <c r="AZ167" i="8"/>
  <c r="AZ168" i="8"/>
  <c r="AZ169" i="8"/>
  <c r="AZ170" i="8"/>
  <c r="AZ171" i="8"/>
  <c r="AZ172" i="8"/>
  <c r="AZ173" i="8"/>
  <c r="AZ174" i="8"/>
  <c r="AZ175" i="8"/>
  <c r="AZ176" i="8"/>
  <c r="AZ177" i="8"/>
  <c r="AZ178" i="8"/>
  <c r="AZ179" i="8"/>
  <c r="AZ180" i="8"/>
  <c r="AZ181" i="8"/>
  <c r="AZ182" i="8"/>
  <c r="AZ183" i="8"/>
  <c r="AZ184" i="8"/>
  <c r="AZ185" i="8"/>
  <c r="AZ186" i="8"/>
  <c r="AZ187" i="8"/>
  <c r="AZ188" i="8"/>
  <c r="AZ189" i="8"/>
  <c r="AZ190" i="8"/>
  <c r="AZ191" i="8"/>
  <c r="AZ192" i="8"/>
  <c r="AZ193" i="8"/>
  <c r="AZ194" i="8"/>
  <c r="AZ195" i="8"/>
  <c r="AZ196" i="8"/>
  <c r="AZ197" i="8"/>
  <c r="AZ198" i="8"/>
  <c r="AZ199" i="8"/>
  <c r="AZ200" i="8"/>
  <c r="AZ201" i="8"/>
  <c r="AZ202" i="8"/>
  <c r="AZ203" i="8"/>
  <c r="AZ204" i="8"/>
  <c r="AZ205" i="8"/>
  <c r="AZ206" i="8"/>
  <c r="AZ207" i="8"/>
  <c r="AZ208" i="8"/>
  <c r="AZ209" i="8"/>
  <c r="AZ210" i="8"/>
  <c r="AZ211" i="8"/>
  <c r="AZ212" i="8"/>
  <c r="AZ213" i="8"/>
  <c r="AZ214" i="8"/>
  <c r="AZ215" i="8"/>
  <c r="AZ216" i="8"/>
  <c r="AZ217" i="8"/>
  <c r="AZ218" i="8"/>
  <c r="AZ219" i="8"/>
  <c r="AZ220" i="8"/>
  <c r="AZ221" i="8"/>
  <c r="AZ222" i="8"/>
  <c r="AZ223" i="8"/>
  <c r="AZ224" i="8"/>
  <c r="AZ225" i="8"/>
  <c r="AZ226" i="8"/>
  <c r="AZ227" i="8"/>
  <c r="AZ228" i="8"/>
  <c r="AZ229" i="8"/>
  <c r="AZ230" i="8"/>
  <c r="AZ231" i="8"/>
  <c r="AZ232" i="8"/>
  <c r="AZ233" i="8"/>
  <c r="AZ234" i="8"/>
  <c r="AZ235" i="8"/>
  <c r="BA6" i="8"/>
  <c r="AZ6" i="8"/>
  <c r="AZ5" i="8"/>
  <c r="AN5" i="8"/>
  <c r="AO5" i="8"/>
  <c r="AP5" i="8"/>
  <c r="AQ5" i="8"/>
  <c r="AR5" i="8"/>
  <c r="AS5" i="8"/>
  <c r="AT5" i="8"/>
  <c r="AV5" i="8"/>
  <c r="AM5" i="8"/>
  <c r="AF69" i="8"/>
  <c r="AG69" i="8"/>
  <c r="AH69" i="8"/>
  <c r="AI69" i="8"/>
  <c r="AJ69" i="8"/>
  <c r="AE69" i="8"/>
  <c r="AB69" i="8"/>
  <c r="AC69" i="8"/>
  <c r="AD69" i="8"/>
  <c r="AA69" i="8"/>
  <c r="BD29" i="8" l="1"/>
  <c r="BD213" i="8"/>
  <c r="BD149" i="8"/>
  <c r="BD85" i="8"/>
  <c r="BD21" i="8"/>
  <c r="BD6" i="8"/>
  <c r="BD141" i="8"/>
  <c r="BD77" i="8"/>
  <c r="BD13" i="8"/>
  <c r="BD197" i="8"/>
  <c r="BD133" i="8"/>
  <c r="BD69" i="8"/>
  <c r="BD253" i="8"/>
  <c r="BD189" i="8"/>
  <c r="BD125" i="8"/>
  <c r="BD61" i="8"/>
  <c r="BD245" i="8"/>
  <c r="BD181" i="8"/>
  <c r="BD117" i="8"/>
  <c r="BD53" i="8"/>
  <c r="BD237" i="8"/>
  <c r="BD173" i="8"/>
  <c r="BD109" i="8"/>
  <c r="BD45" i="8"/>
  <c r="BD229" i="8"/>
  <c r="BD165" i="8"/>
  <c r="BD101" i="8"/>
  <c r="BD37" i="8"/>
  <c r="BD221" i="8"/>
  <c r="BD157" i="8"/>
  <c r="BD93" i="8"/>
  <c r="BD252" i="8"/>
  <c r="BD244" i="8"/>
  <c r="BD236" i="8"/>
  <c r="BD228" i="8"/>
  <c r="BD220" i="8"/>
  <c r="BD212" i="8"/>
  <c r="BD204" i="8"/>
  <c r="BD196" i="8"/>
  <c r="BD188" i="8"/>
  <c r="BD180" i="8"/>
  <c r="BD172" i="8"/>
  <c r="BD164" i="8"/>
  <c r="BD156" i="8"/>
  <c r="BD148" i="8"/>
  <c r="BD140" i="8"/>
  <c r="BD132" i="8"/>
  <c r="BD124" i="8"/>
  <c r="BD116" i="8"/>
  <c r="BD108" i="8"/>
  <c r="BD100" i="8"/>
  <c r="BD92" i="8"/>
  <c r="BD84" i="8"/>
  <c r="BD76" i="8"/>
  <c r="BD68" i="8"/>
  <c r="BD60" i="8"/>
  <c r="BD52" i="8"/>
  <c r="BD44" i="8"/>
  <c r="BD36" i="8"/>
  <c r="BD28" i="8"/>
  <c r="BD20" i="8"/>
  <c r="BD12" i="8"/>
  <c r="BD251" i="8"/>
  <c r="BD243" i="8"/>
  <c r="BD235" i="8"/>
  <c r="BD227" i="8"/>
  <c r="BD219" i="8"/>
  <c r="BD211" i="8"/>
  <c r="BD203" i="8"/>
  <c r="BD195" i="8"/>
  <c r="BD187" i="8"/>
  <c r="BD179" i="8"/>
  <c r="BD171" i="8"/>
  <c r="BD163" i="8"/>
  <c r="BD155" i="8"/>
  <c r="BD147" i="8"/>
  <c r="BD139" i="8"/>
  <c r="BD131" i="8"/>
  <c r="BD123" i="8"/>
  <c r="BD115" i="8"/>
  <c r="BD107" i="8"/>
  <c r="BD99" i="8"/>
  <c r="BD91" i="8"/>
  <c r="BD83" i="8"/>
  <c r="BD75" i="8"/>
  <c r="BD67" i="8"/>
  <c r="BD59" i="8"/>
  <c r="BD51" i="8"/>
  <c r="BD43" i="8"/>
  <c r="BD35" i="8"/>
  <c r="BD27" i="8"/>
  <c r="BD19" i="8"/>
  <c r="BD11" i="8"/>
  <c r="BD250" i="8"/>
  <c r="BD242" i="8"/>
  <c r="BD234" i="8"/>
  <c r="BD226" i="8"/>
  <c r="BD218" i="8"/>
  <c r="BD210" i="8"/>
  <c r="BD202" i="8"/>
  <c r="BD194" i="8"/>
  <c r="BD186" i="8"/>
  <c r="BD178" i="8"/>
  <c r="BD170" i="8"/>
  <c r="BD162" i="8"/>
  <c r="BD154" i="8"/>
  <c r="BD146" i="8"/>
  <c r="BD138" i="8"/>
  <c r="BD130" i="8"/>
  <c r="BD122" i="8"/>
  <c r="BD114" i="8"/>
  <c r="BD106" i="8"/>
  <c r="BD98" i="8"/>
  <c r="BD90" i="8"/>
  <c r="BD82" i="8"/>
  <c r="BD74" i="8"/>
  <c r="BD66" i="8"/>
  <c r="BD58" i="8"/>
  <c r="BD50" i="8"/>
  <c r="BD42" i="8"/>
  <c r="BD34" i="8"/>
  <c r="BD26" i="8"/>
  <c r="BD18" i="8"/>
  <c r="BD10" i="8"/>
  <c r="BD5" i="8"/>
  <c r="BD249" i="8"/>
  <c r="BD241" i="8"/>
  <c r="BD233" i="8"/>
  <c r="BD225" i="8"/>
  <c r="BD217" i="8"/>
  <c r="BD209" i="8"/>
  <c r="BD201" i="8"/>
  <c r="BD193" i="8"/>
  <c r="BD185" i="8"/>
  <c r="BD177" i="8"/>
  <c r="BD169" i="8"/>
  <c r="BD161" i="8"/>
  <c r="BD153" i="8"/>
  <c r="BD145" i="8"/>
  <c r="BD137" i="8"/>
  <c r="BD129" i="8"/>
  <c r="BD121" i="8"/>
  <c r="BD113" i="8"/>
  <c r="BD105" i="8"/>
  <c r="BD97" i="8"/>
  <c r="BD89" i="8"/>
  <c r="BD81" i="8"/>
  <c r="BD73" i="8"/>
  <c r="BD65" i="8"/>
  <c r="BD57" i="8"/>
  <c r="BD49" i="8"/>
  <c r="BD41" i="8"/>
  <c r="BD33" i="8"/>
  <c r="BD25" i="8"/>
  <c r="BD17" i="8"/>
  <c r="BD9" i="8"/>
  <c r="BD256" i="8"/>
  <c r="BD2" i="8" s="1"/>
  <c r="BD248" i="8"/>
  <c r="BD240" i="8"/>
  <c r="BD232" i="8"/>
  <c r="BD224" i="8"/>
  <c r="BD216" i="8"/>
  <c r="BD208" i="8"/>
  <c r="BD200" i="8"/>
  <c r="BD192" i="8"/>
  <c r="BD184" i="8"/>
  <c r="BD176" i="8"/>
  <c r="BD168" i="8"/>
  <c r="BD160" i="8"/>
  <c r="BD152" i="8"/>
  <c r="BD144" i="8"/>
  <c r="BD136" i="8"/>
  <c r="BD128" i="8"/>
  <c r="BD120" i="8"/>
  <c r="BD112" i="8"/>
  <c r="BD104" i="8"/>
  <c r="BD96" i="8"/>
  <c r="BD88" i="8"/>
  <c r="BD80" i="8"/>
  <c r="BD72" i="8"/>
  <c r="BD64" i="8"/>
  <c r="BD56" i="8"/>
  <c r="BD48" i="8"/>
  <c r="BD40" i="8"/>
  <c r="BD32" i="8"/>
  <c r="BD24" i="8"/>
  <c r="BD16" i="8"/>
  <c r="BD8" i="8"/>
  <c r="BD255" i="8"/>
  <c r="BD247" i="8"/>
  <c r="BD239" i="8"/>
  <c r="BD231" i="8"/>
  <c r="BD223" i="8"/>
  <c r="BD215" i="8"/>
  <c r="BD207" i="8"/>
  <c r="BD199" i="8"/>
  <c r="BD191" i="8"/>
  <c r="BD183" i="8"/>
  <c r="BD175" i="8"/>
  <c r="BD167" i="8"/>
  <c r="BD159" i="8"/>
  <c r="BD151" i="8"/>
  <c r="BD143" i="8"/>
  <c r="BD135" i="8"/>
  <c r="BD127" i="8"/>
  <c r="BD119" i="8"/>
  <c r="BD111" i="8"/>
  <c r="BD103" i="8"/>
  <c r="BD95" i="8"/>
  <c r="BD87" i="8"/>
  <c r="BD79" i="8"/>
  <c r="BD71" i="8"/>
  <c r="BD63" i="8"/>
  <c r="BD55" i="8"/>
  <c r="BD47" i="8"/>
  <c r="BD39" i="8"/>
  <c r="BD31" i="8"/>
  <c r="BD23" i="8"/>
  <c r="BD15" i="8"/>
  <c r="BD7" i="8"/>
  <c r="BD254" i="8"/>
  <c r="BD246" i="8"/>
  <c r="BD238" i="8"/>
  <c r="BD230" i="8"/>
  <c r="BD222" i="8"/>
  <c r="BD214" i="8"/>
  <c r="BD206" i="8"/>
  <c r="BD198" i="8"/>
  <c r="BD190" i="8"/>
  <c r="BD182" i="8"/>
  <c r="BD174" i="8"/>
  <c r="BD166" i="8"/>
  <c r="BD158" i="8"/>
  <c r="BD150" i="8"/>
  <c r="BD142" i="8"/>
  <c r="BD134" i="8"/>
  <c r="BD126" i="8"/>
  <c r="BD118" i="8"/>
  <c r="BD110" i="8"/>
  <c r="BD102" i="8"/>
  <c r="BD94" i="8"/>
  <c r="BD86" i="8"/>
  <c r="BD78" i="8"/>
  <c r="BD70" i="8"/>
  <c r="BD62" i="8"/>
  <c r="BD54" i="8"/>
  <c r="BD46" i="8"/>
  <c r="BD38" i="8"/>
  <c r="BD30" i="8"/>
  <c r="BD22" i="8"/>
  <c r="BD14" i="8"/>
  <c r="BB219" i="8"/>
  <c r="BB227" i="8"/>
  <c r="BB211" i="8"/>
  <c r="BB12" i="8"/>
  <c r="BB203" i="8"/>
  <c r="BB8" i="8"/>
  <c r="BB195" i="8"/>
  <c r="BB251" i="8"/>
  <c r="BB187" i="8"/>
  <c r="BB243" i="8"/>
  <c r="BB235" i="8"/>
  <c r="BB155" i="8"/>
  <c r="BB115" i="8"/>
  <c r="BB67" i="8"/>
  <c r="BB43" i="8"/>
  <c r="BB7" i="8"/>
  <c r="BB250" i="8"/>
  <c r="BB242" i="8"/>
  <c r="BB234" i="8"/>
  <c r="BB226" i="8"/>
  <c r="BB218" i="8"/>
  <c r="BB210" i="8"/>
  <c r="BB202" i="8"/>
  <c r="BB194" i="8"/>
  <c r="BB186" i="8"/>
  <c r="BB178" i="8"/>
  <c r="BB170" i="8"/>
  <c r="BB162" i="8"/>
  <c r="BB154" i="8"/>
  <c r="BB146" i="8"/>
  <c r="BB138" i="8"/>
  <c r="BB130" i="8"/>
  <c r="BB122" i="8"/>
  <c r="BB114" i="8"/>
  <c r="BB106" i="8"/>
  <c r="BB98" i="8"/>
  <c r="BB90" i="8"/>
  <c r="BB82" i="8"/>
  <c r="BB74" i="8"/>
  <c r="BB66" i="8"/>
  <c r="BB58" i="8"/>
  <c r="BB50" i="8"/>
  <c r="BB42" i="8"/>
  <c r="BB34" i="8"/>
  <c r="BB26" i="8"/>
  <c r="BB18" i="8"/>
  <c r="BB10" i="8"/>
  <c r="BB171" i="8"/>
  <c r="BB131" i="8"/>
  <c r="BB83" i="8"/>
  <c r="BB51" i="8"/>
  <c r="BB6" i="8"/>
  <c r="BB249" i="8"/>
  <c r="BB241" i="8"/>
  <c r="BB233" i="8"/>
  <c r="BB225" i="8"/>
  <c r="BB217" i="8"/>
  <c r="BB209" i="8"/>
  <c r="BB201" i="8"/>
  <c r="BB193" i="8"/>
  <c r="BB185" i="8"/>
  <c r="BB177" i="8"/>
  <c r="BB169" i="8"/>
  <c r="BB161" i="8"/>
  <c r="BB153" i="8"/>
  <c r="BB145" i="8"/>
  <c r="BB137" i="8"/>
  <c r="BB129" i="8"/>
  <c r="BB121" i="8"/>
  <c r="BB113" i="8"/>
  <c r="BB105" i="8"/>
  <c r="BB97" i="8"/>
  <c r="BB89" i="8"/>
  <c r="BB81" i="8"/>
  <c r="BB73" i="8"/>
  <c r="BB65" i="8"/>
  <c r="BB57" i="8"/>
  <c r="BB49" i="8"/>
  <c r="BB41" i="8"/>
  <c r="BB33" i="8"/>
  <c r="BB25" i="8"/>
  <c r="BB17" i="8"/>
  <c r="BB9" i="8"/>
  <c r="BB163" i="8"/>
  <c r="BB107" i="8"/>
  <c r="BB59" i="8"/>
  <c r="BB11" i="8"/>
  <c r="BB256" i="8"/>
  <c r="BB248" i="8"/>
  <c r="BB240" i="8"/>
  <c r="BB232" i="8"/>
  <c r="BB224" i="8"/>
  <c r="BB216" i="8"/>
  <c r="BB208" i="8"/>
  <c r="BB200" i="8"/>
  <c r="BB192" i="8"/>
  <c r="BB184" i="8"/>
  <c r="BB176" i="8"/>
  <c r="BB168" i="8"/>
  <c r="BB160" i="8"/>
  <c r="BB152" i="8"/>
  <c r="BB144" i="8"/>
  <c r="BB136" i="8"/>
  <c r="BB128" i="8"/>
  <c r="BB120" i="8"/>
  <c r="BB112" i="8"/>
  <c r="BB104" i="8"/>
  <c r="BB96" i="8"/>
  <c r="BB88" i="8"/>
  <c r="BB80" i="8"/>
  <c r="BB72" i="8"/>
  <c r="BB64" i="8"/>
  <c r="BB56" i="8"/>
  <c r="BB48" i="8"/>
  <c r="BB40" i="8"/>
  <c r="BB32" i="8"/>
  <c r="BB24" i="8"/>
  <c r="BB16" i="8"/>
  <c r="BB139" i="8"/>
  <c r="BB91" i="8"/>
  <c r="BB35" i="8"/>
  <c r="BB255" i="8"/>
  <c r="BB247" i="8"/>
  <c r="BB239" i="8"/>
  <c r="BB231" i="8"/>
  <c r="BB223" i="8"/>
  <c r="BB215" i="8"/>
  <c r="BB207" i="8"/>
  <c r="BB199" i="8"/>
  <c r="BB191" i="8"/>
  <c r="BB183" i="8"/>
  <c r="BB175" i="8"/>
  <c r="BB167" i="8"/>
  <c r="BB159" i="8"/>
  <c r="BB151" i="8"/>
  <c r="BB143" i="8"/>
  <c r="BB135" i="8"/>
  <c r="BB127" i="8"/>
  <c r="BB119" i="8"/>
  <c r="BB111" i="8"/>
  <c r="BB103" i="8"/>
  <c r="BB95" i="8"/>
  <c r="BB87" i="8"/>
  <c r="BB79" i="8"/>
  <c r="BB71" i="8"/>
  <c r="BB63" i="8"/>
  <c r="BB55" i="8"/>
  <c r="BB47" i="8"/>
  <c r="BB39" i="8"/>
  <c r="BB31" i="8"/>
  <c r="BB23" i="8"/>
  <c r="BB15" i="8"/>
  <c r="BB147" i="8"/>
  <c r="BB99" i="8"/>
  <c r="BB19" i="8"/>
  <c r="BB254" i="8"/>
  <c r="BB246" i="8"/>
  <c r="BB238" i="8"/>
  <c r="BB230" i="8"/>
  <c r="BB222" i="8"/>
  <c r="BB214" i="8"/>
  <c r="BB206" i="8"/>
  <c r="BB198" i="8"/>
  <c r="BB190" i="8"/>
  <c r="BB182" i="8"/>
  <c r="BB174" i="8"/>
  <c r="BB166" i="8"/>
  <c r="BB158" i="8"/>
  <c r="BB150" i="8"/>
  <c r="BB142" i="8"/>
  <c r="BB134" i="8"/>
  <c r="BB126" i="8"/>
  <c r="BB118" i="8"/>
  <c r="BB110" i="8"/>
  <c r="BB102" i="8"/>
  <c r="BB94" i="8"/>
  <c r="BB86" i="8"/>
  <c r="BB78" i="8"/>
  <c r="BB70" i="8"/>
  <c r="BB62" i="8"/>
  <c r="BB54" i="8"/>
  <c r="BB46" i="8"/>
  <c r="BB38" i="8"/>
  <c r="BB30" i="8"/>
  <c r="BB22" i="8"/>
  <c r="BB14" i="8"/>
  <c r="BB253" i="8"/>
  <c r="BB245" i="8"/>
  <c r="BB237" i="8"/>
  <c r="BB229" i="8"/>
  <c r="BB221" i="8"/>
  <c r="BB213" i="8"/>
  <c r="BB205" i="8"/>
  <c r="BB197" i="8"/>
  <c r="BB189" i="8"/>
  <c r="BB181" i="8"/>
  <c r="BB173" i="8"/>
  <c r="BB165" i="8"/>
  <c r="BB157" i="8"/>
  <c r="BB149" i="8"/>
  <c r="BB141" i="8"/>
  <c r="BB133" i="8"/>
  <c r="BB125" i="8"/>
  <c r="BB117" i="8"/>
  <c r="BB109" i="8"/>
  <c r="BB101" i="8"/>
  <c r="BB93" i="8"/>
  <c r="BB85" i="8"/>
  <c r="BB77" i="8"/>
  <c r="BB69" i="8"/>
  <c r="BB61" i="8"/>
  <c r="BB53" i="8"/>
  <c r="BB45" i="8"/>
  <c r="BB37" i="8"/>
  <c r="BB29" i="8"/>
  <c r="BB21" i="8"/>
  <c r="BB13" i="8"/>
  <c r="BB179" i="8"/>
  <c r="BB123" i="8"/>
  <c r="BB75" i="8"/>
  <c r="BB27" i="8"/>
  <c r="BB5" i="8"/>
  <c r="BB252" i="8"/>
  <c r="BB244" i="8"/>
  <c r="BB236" i="8"/>
  <c r="BB228" i="8"/>
  <c r="BB220" i="8"/>
  <c r="BB212" i="8"/>
  <c r="BB204" i="8"/>
  <c r="BB196" i="8"/>
  <c r="BB188" i="8"/>
  <c r="BB180" i="8"/>
  <c r="BB172" i="8"/>
  <c r="BB164" i="8"/>
  <c r="BB156" i="8"/>
  <c r="BB148" i="8"/>
  <c r="BB140" i="8"/>
  <c r="BB132" i="8"/>
  <c r="BB124" i="8"/>
  <c r="BB116" i="8"/>
  <c r="BB108" i="8"/>
  <c r="BB100" i="8"/>
  <c r="BB92" i="8"/>
  <c r="BB84" i="8"/>
  <c r="BB76" i="8"/>
  <c r="BB68" i="8"/>
  <c r="BB60" i="8"/>
  <c r="BB52" i="8"/>
  <c r="BB44" i="8"/>
  <c r="BB36" i="8"/>
  <c r="BB28" i="8"/>
  <c r="BB20" i="8"/>
  <c r="AA29" i="8" a="1"/>
  <c r="AA16" i="8" a="1"/>
  <c r="BD4" i="8" l="1"/>
  <c r="BD3" i="8"/>
  <c r="BB2" i="8"/>
  <c r="AB29" i="8"/>
  <c r="AJ29" i="8"/>
  <c r="AH30" i="8"/>
  <c r="AF31" i="8"/>
  <c r="AD32" i="8"/>
  <c r="AB33" i="8"/>
  <c r="AJ33" i="8"/>
  <c r="AH34" i="8"/>
  <c r="AF35" i="8"/>
  <c r="AD36" i="8"/>
  <c r="AB37" i="8"/>
  <c r="AJ37" i="8"/>
  <c r="AH38" i="8"/>
  <c r="AG31" i="8"/>
  <c r="AC33" i="8"/>
  <c r="AA34" i="8"/>
  <c r="AG35" i="8"/>
  <c r="AE36" i="8"/>
  <c r="AC37" i="8"/>
  <c r="AA38" i="8"/>
  <c r="AI38" i="8"/>
  <c r="AD29" i="8"/>
  <c r="AB30" i="8"/>
  <c r="AJ30" i="8"/>
  <c r="AH31" i="8"/>
  <c r="AF32" i="8"/>
  <c r="AD33" i="8"/>
  <c r="AB34" i="8"/>
  <c r="AH35" i="8"/>
  <c r="AD37" i="8"/>
  <c r="AJ38" i="8"/>
  <c r="AE29" i="8"/>
  <c r="AA31" i="8"/>
  <c r="AG32" i="8"/>
  <c r="AC34" i="8"/>
  <c r="AI35" i="8"/>
  <c r="AE37" i="8"/>
  <c r="AD30" i="8"/>
  <c r="AH32" i="8"/>
  <c r="AB35" i="8"/>
  <c r="AF37" i="8"/>
  <c r="AE30" i="8"/>
  <c r="AI32" i="8"/>
  <c r="AE34" i="8"/>
  <c r="AI36" i="8"/>
  <c r="AE38" i="8"/>
  <c r="AD31" i="8"/>
  <c r="AJ32" i="8"/>
  <c r="AB36" i="8"/>
  <c r="AH37" i="8"/>
  <c r="AG30" i="8"/>
  <c r="AA33" i="8"/>
  <c r="AE35" i="8"/>
  <c r="AC29" i="8"/>
  <c r="AA30" i="8"/>
  <c r="AI30" i="8"/>
  <c r="AE32" i="8"/>
  <c r="AI34" i="8"/>
  <c r="AJ34" i="8"/>
  <c r="AF36" i="8"/>
  <c r="AB38" i="8"/>
  <c r="AC30" i="8"/>
  <c r="AI31" i="8"/>
  <c r="AE33" i="8"/>
  <c r="AA35" i="8"/>
  <c r="AG36" i="8"/>
  <c r="AC38" i="8"/>
  <c r="AJ31" i="8"/>
  <c r="AD34" i="8"/>
  <c r="AH36" i="8"/>
  <c r="AC31" i="8"/>
  <c r="AG33" i="8"/>
  <c r="AA36" i="8"/>
  <c r="AG37" i="8"/>
  <c r="AB32" i="8"/>
  <c r="AF34" i="8"/>
  <c r="AJ36" i="8"/>
  <c r="AA29" i="8"/>
  <c r="AI33" i="8"/>
  <c r="AA37" i="8"/>
  <c r="AH29" i="8"/>
  <c r="AE31" i="8"/>
  <c r="AG34" i="8"/>
  <c r="AI37" i="8"/>
  <c r="AF29" i="8"/>
  <c r="AB31" i="8"/>
  <c r="AF33" i="8"/>
  <c r="AJ35" i="8"/>
  <c r="AD38" i="8"/>
  <c r="AG29" i="8"/>
  <c r="AA32" i="8"/>
  <c r="AC35" i="8"/>
  <c r="AF30" i="8"/>
  <c r="AH33" i="8"/>
  <c r="AD35" i="8"/>
  <c r="AF38" i="8"/>
  <c r="AI29" i="8"/>
  <c r="AC32" i="8"/>
  <c r="AC36" i="8"/>
  <c r="AG38" i="8"/>
  <c r="AH16" i="8"/>
  <c r="AF17" i="8"/>
  <c r="AD18" i="8"/>
  <c r="AB19" i="8"/>
  <c r="AJ19" i="8"/>
  <c r="AH20" i="8"/>
  <c r="AF21" i="8"/>
  <c r="AD22" i="8"/>
  <c r="AB23" i="8"/>
  <c r="AJ23" i="8"/>
  <c r="AH24" i="8"/>
  <c r="AF25" i="8"/>
  <c r="AA16" i="8"/>
  <c r="AI16" i="8"/>
  <c r="AG17" i="8"/>
  <c r="AE18" i="8"/>
  <c r="AC19" i="8"/>
  <c r="AA20" i="8"/>
  <c r="AI20" i="8"/>
  <c r="AG21" i="8"/>
  <c r="AE22" i="8"/>
  <c r="AC23" i="8"/>
  <c r="AA24" i="8"/>
  <c r="AI24" i="8"/>
  <c r="AG25" i="8"/>
  <c r="AJ16" i="8"/>
  <c r="AH17" i="8"/>
  <c r="AF18" i="8"/>
  <c r="AD19" i="8"/>
  <c r="AB20" i="8"/>
  <c r="AJ20" i="8"/>
  <c r="AH21" i="8"/>
  <c r="AF22" i="8"/>
  <c r="AD23" i="8"/>
  <c r="AJ24" i="8"/>
  <c r="AH25" i="8"/>
  <c r="AC16" i="8"/>
  <c r="AI17" i="8"/>
  <c r="AG18" i="8"/>
  <c r="AE19" i="8"/>
  <c r="AC20" i="8"/>
  <c r="AA21" i="8"/>
  <c r="AI21" i="8"/>
  <c r="AG22" i="8"/>
  <c r="AE23" i="8"/>
  <c r="AC24" i="8"/>
  <c r="AA25" i="8"/>
  <c r="AI25" i="8"/>
  <c r="AD16" i="8"/>
  <c r="AB17" i="8"/>
  <c r="AJ17" i="8"/>
  <c r="AH18" i="8"/>
  <c r="AF19" i="8"/>
  <c r="AD20" i="8"/>
  <c r="AB21" i="8"/>
  <c r="AJ21" i="8"/>
  <c r="AH22" i="8"/>
  <c r="AF23" i="8"/>
  <c r="AD24" i="8"/>
  <c r="AJ25" i="8"/>
  <c r="AE16" i="8"/>
  <c r="AA18" i="8"/>
  <c r="AG19" i="8"/>
  <c r="AC21" i="8"/>
  <c r="AI22" i="8"/>
  <c r="AE24" i="8"/>
  <c r="AF16" i="8"/>
  <c r="AB18" i="8"/>
  <c r="AD21" i="8"/>
  <c r="AH23" i="8"/>
  <c r="AE17" i="8"/>
  <c r="AG20" i="8"/>
  <c r="AA23" i="8"/>
  <c r="AE25" i="8"/>
  <c r="AB16" i="8"/>
  <c r="AB24" i="8"/>
  <c r="AB25" i="8"/>
  <c r="AC17" i="8"/>
  <c r="AI18" i="8"/>
  <c r="AE20" i="8"/>
  <c r="AA22" i="8"/>
  <c r="AG23" i="8"/>
  <c r="AC25" i="8"/>
  <c r="AD17" i="8"/>
  <c r="AJ18" i="8"/>
  <c r="AF20" i="8"/>
  <c r="AB22" i="8"/>
  <c r="AD25" i="8"/>
  <c r="AA19" i="8"/>
  <c r="AE21" i="8"/>
  <c r="AI23" i="8"/>
  <c r="AA17" i="8"/>
  <c r="AH19" i="8"/>
  <c r="AJ22" i="8"/>
  <c r="AF24" i="8"/>
  <c r="AG16" i="8"/>
  <c r="AI19" i="8"/>
  <c r="AC22" i="8"/>
  <c r="AG24" i="8"/>
  <c r="AC18" i="8"/>
  <c r="AB3" i="8" l="1"/>
  <c r="AC3" i="8"/>
  <c r="AD3" i="8"/>
  <c r="AE3" i="8"/>
  <c r="AF3" i="8"/>
  <c r="AG3" i="8"/>
  <c r="AH3" i="8"/>
  <c r="AI3" i="8"/>
  <c r="AJ3" i="8"/>
  <c r="AB4" i="8"/>
  <c r="AC4" i="8"/>
  <c r="AD4" i="8"/>
  <c r="AE4" i="8"/>
  <c r="AF4" i="8"/>
  <c r="AG4" i="8"/>
  <c r="AH4" i="8"/>
  <c r="AI4" i="8"/>
  <c r="AJ4" i="8"/>
  <c r="AB5" i="8"/>
  <c r="AC5" i="8"/>
  <c r="AD5" i="8"/>
  <c r="AE5" i="8"/>
  <c r="AF5" i="8"/>
  <c r="AG5" i="8"/>
  <c r="AH5" i="8"/>
  <c r="AI5" i="8"/>
  <c r="AJ5" i="8"/>
  <c r="AB6" i="8"/>
  <c r="AC6" i="8"/>
  <c r="AD6" i="8"/>
  <c r="AE6" i="8"/>
  <c r="AF6" i="8"/>
  <c r="AG6" i="8"/>
  <c r="AH6" i="8"/>
  <c r="AI6" i="8"/>
  <c r="AJ6" i="8"/>
  <c r="AB7" i="8"/>
  <c r="AC7" i="8"/>
  <c r="AD7" i="8"/>
  <c r="AE7" i="8"/>
  <c r="AF7" i="8"/>
  <c r="AG7" i="8"/>
  <c r="AH7" i="8"/>
  <c r="AI7" i="8"/>
  <c r="AJ7" i="8"/>
  <c r="AB8" i="8"/>
  <c r="AC8" i="8"/>
  <c r="AD8" i="8"/>
  <c r="AE8" i="8"/>
  <c r="AF8" i="8"/>
  <c r="AG8" i="8"/>
  <c r="AH8" i="8"/>
  <c r="AI8" i="8"/>
  <c r="AJ8" i="8"/>
  <c r="AB9" i="8"/>
  <c r="AC9" i="8"/>
  <c r="AD9" i="8"/>
  <c r="AE9" i="8"/>
  <c r="AF9" i="8"/>
  <c r="AG9" i="8"/>
  <c r="AH9" i="8"/>
  <c r="AI9" i="8"/>
  <c r="AJ9" i="8"/>
  <c r="AB10" i="8"/>
  <c r="AC10" i="8"/>
  <c r="AD10" i="8"/>
  <c r="AE10" i="8"/>
  <c r="AF10" i="8"/>
  <c r="AG10" i="8"/>
  <c r="AH10" i="8"/>
  <c r="AI10" i="8"/>
  <c r="AJ10" i="8"/>
  <c r="AB11" i="8"/>
  <c r="AC11" i="8"/>
  <c r="AD11" i="8"/>
  <c r="AE11" i="8"/>
  <c r="AF11" i="8"/>
  <c r="AG11" i="8"/>
  <c r="AH11" i="8"/>
  <c r="AI11" i="8"/>
  <c r="AJ11" i="8"/>
  <c r="AB12" i="8"/>
  <c r="AC12" i="8"/>
  <c r="AD12" i="8"/>
  <c r="AE12" i="8"/>
  <c r="AF12" i="8"/>
  <c r="AG12" i="8"/>
  <c r="AH12" i="8"/>
  <c r="AI12" i="8"/>
  <c r="AJ12" i="8"/>
  <c r="AA4" i="8"/>
  <c r="AA5" i="8"/>
  <c r="AA6" i="8"/>
  <c r="AA7" i="8"/>
  <c r="AA8" i="8"/>
  <c r="AA9" i="8"/>
  <c r="AA10" i="8"/>
  <c r="AA11" i="8"/>
  <c r="AA12" i="8"/>
  <c r="AA3" i="8"/>
  <c r="O3" i="8"/>
  <c r="P3" i="8"/>
  <c r="Q3" i="8"/>
  <c r="R3" i="8"/>
  <c r="S3" i="8"/>
  <c r="T3" i="8"/>
  <c r="U3" i="8"/>
  <c r="V3" i="8"/>
  <c r="W3" i="8"/>
  <c r="X3" i="8"/>
  <c r="O4" i="8"/>
  <c r="P4" i="8"/>
  <c r="Q4" i="8"/>
  <c r="R4" i="8"/>
  <c r="S4" i="8"/>
  <c r="T4" i="8"/>
  <c r="U4" i="8"/>
  <c r="V4" i="8"/>
  <c r="W4" i="8"/>
  <c r="X4" i="8"/>
  <c r="O5" i="8"/>
  <c r="P5" i="8"/>
  <c r="Q5" i="8"/>
  <c r="R5" i="8"/>
  <c r="S5" i="8"/>
  <c r="T5" i="8"/>
  <c r="U5" i="8"/>
  <c r="V5" i="8"/>
  <c r="W5" i="8"/>
  <c r="X5" i="8"/>
  <c r="O6" i="8"/>
  <c r="P6" i="8"/>
  <c r="Q6" i="8"/>
  <c r="R6" i="8"/>
  <c r="S6" i="8"/>
  <c r="T6" i="8"/>
  <c r="U6" i="8"/>
  <c r="V6" i="8"/>
  <c r="W6" i="8"/>
  <c r="X6" i="8"/>
  <c r="O7" i="8"/>
  <c r="P7" i="8"/>
  <c r="Q7" i="8"/>
  <c r="R7" i="8"/>
  <c r="S7" i="8"/>
  <c r="T7" i="8"/>
  <c r="U7" i="8"/>
  <c r="V7" i="8"/>
  <c r="W7" i="8"/>
  <c r="X7" i="8"/>
  <c r="O8" i="8"/>
  <c r="P8" i="8"/>
  <c r="Q8" i="8"/>
  <c r="R8" i="8"/>
  <c r="S8" i="8"/>
  <c r="T8" i="8"/>
  <c r="U8" i="8"/>
  <c r="V8" i="8"/>
  <c r="W8" i="8"/>
  <c r="X8" i="8"/>
  <c r="O9" i="8"/>
  <c r="P9" i="8"/>
  <c r="Q9" i="8"/>
  <c r="R9" i="8"/>
  <c r="S9" i="8"/>
  <c r="T9" i="8"/>
  <c r="U9" i="8"/>
  <c r="V9" i="8"/>
  <c r="W9" i="8"/>
  <c r="X9" i="8"/>
  <c r="O10" i="8"/>
  <c r="P10" i="8"/>
  <c r="Q10" i="8"/>
  <c r="R10" i="8"/>
  <c r="S10" i="8"/>
  <c r="T10" i="8"/>
  <c r="U10" i="8"/>
  <c r="V10" i="8"/>
  <c r="W10" i="8"/>
  <c r="X10" i="8"/>
  <c r="O11" i="8"/>
  <c r="P11" i="8"/>
  <c r="Q11" i="8"/>
  <c r="R11" i="8"/>
  <c r="S11" i="8"/>
  <c r="T11" i="8"/>
  <c r="U11" i="8"/>
  <c r="V11" i="8"/>
  <c r="W11" i="8"/>
  <c r="X11" i="8"/>
  <c r="O12" i="8"/>
  <c r="P12" i="8"/>
  <c r="Q12" i="8"/>
  <c r="R12" i="8"/>
  <c r="S12" i="8"/>
  <c r="T12" i="8"/>
  <c r="U12" i="8"/>
  <c r="V12" i="8"/>
  <c r="W12" i="8"/>
  <c r="X12" i="8"/>
  <c r="O13" i="8"/>
  <c r="P13" i="8"/>
  <c r="Q13" i="8"/>
  <c r="R13" i="8"/>
  <c r="S13" i="8"/>
  <c r="T13" i="8"/>
  <c r="U13" i="8"/>
  <c r="V13" i="8"/>
  <c r="W13" i="8"/>
  <c r="X13" i="8"/>
  <c r="O14" i="8"/>
  <c r="P14" i="8"/>
  <c r="Q14" i="8"/>
  <c r="R14" i="8"/>
  <c r="S14" i="8"/>
  <c r="T14" i="8"/>
  <c r="U14" i="8"/>
  <c r="V14" i="8"/>
  <c r="W14" i="8"/>
  <c r="X14" i="8"/>
  <c r="O15" i="8"/>
  <c r="P15" i="8"/>
  <c r="Q15" i="8"/>
  <c r="R15" i="8"/>
  <c r="S15" i="8"/>
  <c r="T15" i="8"/>
  <c r="U15" i="8"/>
  <c r="V15" i="8"/>
  <c r="W15" i="8"/>
  <c r="X15" i="8"/>
  <c r="O16" i="8"/>
  <c r="P16" i="8"/>
  <c r="Q16" i="8"/>
  <c r="R16" i="8"/>
  <c r="S16" i="8"/>
  <c r="T16" i="8"/>
  <c r="U16" i="8"/>
  <c r="V16" i="8"/>
  <c r="W16" i="8"/>
  <c r="X16" i="8"/>
  <c r="O17" i="8"/>
  <c r="P17" i="8"/>
  <c r="Q17" i="8"/>
  <c r="R17" i="8"/>
  <c r="S17" i="8"/>
  <c r="T17" i="8"/>
  <c r="U17" i="8"/>
  <c r="V17" i="8"/>
  <c r="W17" i="8"/>
  <c r="X17" i="8"/>
  <c r="O18" i="8"/>
  <c r="P18" i="8"/>
  <c r="Q18" i="8"/>
  <c r="R18" i="8"/>
  <c r="S18" i="8"/>
  <c r="T18" i="8"/>
  <c r="U18" i="8"/>
  <c r="V18" i="8"/>
  <c r="W18" i="8"/>
  <c r="X18" i="8"/>
  <c r="O19" i="8"/>
  <c r="P19" i="8"/>
  <c r="Q19" i="8"/>
  <c r="R19" i="8"/>
  <c r="S19" i="8"/>
  <c r="T19" i="8"/>
  <c r="U19" i="8"/>
  <c r="V19" i="8"/>
  <c r="W19" i="8"/>
  <c r="X19" i="8"/>
  <c r="O20" i="8"/>
  <c r="P20" i="8"/>
  <c r="Q20" i="8"/>
  <c r="R20" i="8"/>
  <c r="S20" i="8"/>
  <c r="T20" i="8"/>
  <c r="U20" i="8"/>
  <c r="V20" i="8"/>
  <c r="W20" i="8"/>
  <c r="X20" i="8"/>
  <c r="O21" i="8"/>
  <c r="P21" i="8"/>
  <c r="Q21" i="8"/>
  <c r="R21" i="8"/>
  <c r="S21" i="8"/>
  <c r="T21" i="8"/>
  <c r="U21" i="8"/>
  <c r="V21" i="8"/>
  <c r="W21" i="8"/>
  <c r="X21" i="8"/>
  <c r="O22" i="8"/>
  <c r="P22" i="8"/>
  <c r="Q22" i="8"/>
  <c r="R22" i="8"/>
  <c r="S22" i="8"/>
  <c r="T22" i="8"/>
  <c r="U22" i="8"/>
  <c r="V22" i="8"/>
  <c r="W22" i="8"/>
  <c r="X22" i="8"/>
  <c r="O23" i="8"/>
  <c r="P23" i="8"/>
  <c r="Q23" i="8"/>
  <c r="R23" i="8"/>
  <c r="S23" i="8"/>
  <c r="T23" i="8"/>
  <c r="U23" i="8"/>
  <c r="V23" i="8"/>
  <c r="W23" i="8"/>
  <c r="X23" i="8"/>
  <c r="O24" i="8"/>
  <c r="P24" i="8"/>
  <c r="Q24" i="8"/>
  <c r="R24" i="8"/>
  <c r="S24" i="8"/>
  <c r="T24" i="8"/>
  <c r="U24" i="8"/>
  <c r="V24" i="8"/>
  <c r="W24" i="8"/>
  <c r="X24" i="8"/>
  <c r="O25" i="8"/>
  <c r="P25" i="8"/>
  <c r="Q25" i="8"/>
  <c r="R25" i="8"/>
  <c r="S25" i="8"/>
  <c r="T25" i="8"/>
  <c r="U25" i="8"/>
  <c r="V25" i="8"/>
  <c r="W25" i="8"/>
  <c r="X25" i="8"/>
  <c r="O26" i="8"/>
  <c r="P26" i="8"/>
  <c r="Q26" i="8"/>
  <c r="R26" i="8"/>
  <c r="S26" i="8"/>
  <c r="T26" i="8"/>
  <c r="U26" i="8"/>
  <c r="V26" i="8"/>
  <c r="W26" i="8"/>
  <c r="X26" i="8"/>
  <c r="O27" i="8"/>
  <c r="P27" i="8"/>
  <c r="Q27" i="8"/>
  <c r="R27" i="8"/>
  <c r="S27" i="8"/>
  <c r="T27" i="8"/>
  <c r="U27" i="8"/>
  <c r="V27" i="8"/>
  <c r="W27" i="8"/>
  <c r="X27" i="8"/>
  <c r="O28" i="8"/>
  <c r="P28" i="8"/>
  <c r="Q28" i="8"/>
  <c r="R28" i="8"/>
  <c r="S28" i="8"/>
  <c r="T28" i="8"/>
  <c r="U28" i="8"/>
  <c r="V28" i="8"/>
  <c r="W28" i="8"/>
  <c r="X28" i="8"/>
  <c r="O29" i="8"/>
  <c r="P29" i="8"/>
  <c r="Q29" i="8"/>
  <c r="R29" i="8"/>
  <c r="S29" i="8"/>
  <c r="T29" i="8"/>
  <c r="U29" i="8"/>
  <c r="V29" i="8"/>
  <c r="W29" i="8"/>
  <c r="X29" i="8"/>
  <c r="O30" i="8"/>
  <c r="P30" i="8"/>
  <c r="Q30" i="8"/>
  <c r="R30" i="8"/>
  <c r="S30" i="8"/>
  <c r="T30" i="8"/>
  <c r="U30" i="8"/>
  <c r="V30" i="8"/>
  <c r="W30" i="8"/>
  <c r="X30" i="8"/>
  <c r="O31" i="8"/>
  <c r="P31" i="8"/>
  <c r="Q31" i="8"/>
  <c r="R31" i="8"/>
  <c r="S31" i="8"/>
  <c r="T31" i="8"/>
  <c r="U31" i="8"/>
  <c r="V31" i="8"/>
  <c r="W31" i="8"/>
  <c r="X31" i="8"/>
  <c r="O32" i="8"/>
  <c r="P32" i="8"/>
  <c r="Q32" i="8"/>
  <c r="R32" i="8"/>
  <c r="S32" i="8"/>
  <c r="T32" i="8"/>
  <c r="U32" i="8"/>
  <c r="V32" i="8"/>
  <c r="W32" i="8"/>
  <c r="X32" i="8"/>
  <c r="O33" i="8"/>
  <c r="P33" i="8"/>
  <c r="Q33" i="8"/>
  <c r="R33" i="8"/>
  <c r="S33" i="8"/>
  <c r="T33" i="8"/>
  <c r="U33" i="8"/>
  <c r="V33" i="8"/>
  <c r="W33" i="8"/>
  <c r="X33" i="8"/>
  <c r="O34" i="8"/>
  <c r="P34" i="8"/>
  <c r="Q34" i="8"/>
  <c r="R34" i="8"/>
  <c r="S34" i="8"/>
  <c r="T34" i="8"/>
  <c r="U34" i="8"/>
  <c r="V34" i="8"/>
  <c r="W34" i="8"/>
  <c r="X34" i="8"/>
  <c r="O35" i="8"/>
  <c r="P35" i="8"/>
  <c r="Q35" i="8"/>
  <c r="R35" i="8"/>
  <c r="S35" i="8"/>
  <c r="T35" i="8"/>
  <c r="U35" i="8"/>
  <c r="V35" i="8"/>
  <c r="W35" i="8"/>
  <c r="X35" i="8"/>
  <c r="O36" i="8"/>
  <c r="P36" i="8"/>
  <c r="Q36" i="8"/>
  <c r="R36" i="8"/>
  <c r="S36" i="8"/>
  <c r="T36" i="8"/>
  <c r="U36" i="8"/>
  <c r="V36" i="8"/>
  <c r="W36" i="8"/>
  <c r="X36" i="8"/>
  <c r="O37" i="8"/>
  <c r="P37" i="8"/>
  <c r="Q37" i="8"/>
  <c r="R37" i="8"/>
  <c r="S37" i="8"/>
  <c r="T37" i="8"/>
  <c r="U37" i="8"/>
  <c r="V37" i="8"/>
  <c r="W37" i="8"/>
  <c r="X37" i="8"/>
  <c r="O38" i="8"/>
  <c r="P38" i="8"/>
  <c r="Q38" i="8"/>
  <c r="R38" i="8"/>
  <c r="S38" i="8"/>
  <c r="T38" i="8"/>
  <c r="U38" i="8"/>
  <c r="V38" i="8"/>
  <c r="W38" i="8"/>
  <c r="X38" i="8"/>
  <c r="O39" i="8"/>
  <c r="P39" i="8"/>
  <c r="Q39" i="8"/>
  <c r="R39" i="8"/>
  <c r="S39" i="8"/>
  <c r="T39" i="8"/>
  <c r="U39" i="8"/>
  <c r="V39" i="8"/>
  <c r="W39" i="8"/>
  <c r="X39" i="8"/>
  <c r="O40" i="8"/>
  <c r="P40" i="8"/>
  <c r="Q40" i="8"/>
  <c r="R40" i="8"/>
  <c r="S40" i="8"/>
  <c r="T40" i="8"/>
  <c r="U40" i="8"/>
  <c r="V40" i="8"/>
  <c r="W40" i="8"/>
  <c r="X40" i="8"/>
  <c r="O41" i="8"/>
  <c r="P41" i="8"/>
  <c r="Q41" i="8"/>
  <c r="R41" i="8"/>
  <c r="S41" i="8"/>
  <c r="T41" i="8"/>
  <c r="U41" i="8"/>
  <c r="V41" i="8"/>
  <c r="W41" i="8"/>
  <c r="X41" i="8"/>
  <c r="O42" i="8"/>
  <c r="P42" i="8"/>
  <c r="Q42" i="8"/>
  <c r="R42" i="8"/>
  <c r="S42" i="8"/>
  <c r="T42" i="8"/>
  <c r="U42" i="8"/>
  <c r="V42" i="8"/>
  <c r="W42" i="8"/>
  <c r="X42" i="8"/>
  <c r="O43" i="8"/>
  <c r="P43" i="8"/>
  <c r="Q43" i="8"/>
  <c r="R43" i="8"/>
  <c r="S43" i="8"/>
  <c r="T43" i="8"/>
  <c r="U43" i="8"/>
  <c r="V43" i="8"/>
  <c r="W43" i="8"/>
  <c r="X43" i="8"/>
  <c r="O44" i="8"/>
  <c r="P44" i="8"/>
  <c r="Q44" i="8"/>
  <c r="R44" i="8"/>
  <c r="S44" i="8"/>
  <c r="T44" i="8"/>
  <c r="U44" i="8"/>
  <c r="V44" i="8"/>
  <c r="W44" i="8"/>
  <c r="X44" i="8"/>
  <c r="O45" i="8"/>
  <c r="P45" i="8"/>
  <c r="Q45" i="8"/>
  <c r="R45" i="8"/>
  <c r="S45" i="8"/>
  <c r="T45" i="8"/>
  <c r="U45" i="8"/>
  <c r="V45" i="8"/>
  <c r="W45" i="8"/>
  <c r="X45" i="8"/>
  <c r="O46" i="8"/>
  <c r="P46" i="8"/>
  <c r="Q46" i="8"/>
  <c r="R46" i="8"/>
  <c r="S46" i="8"/>
  <c r="T46" i="8"/>
  <c r="U46" i="8"/>
  <c r="V46" i="8"/>
  <c r="W46" i="8"/>
  <c r="X46" i="8"/>
  <c r="O47" i="8"/>
  <c r="P47" i="8"/>
  <c r="Q47" i="8"/>
  <c r="R47" i="8"/>
  <c r="S47" i="8"/>
  <c r="T47" i="8"/>
  <c r="U47" i="8"/>
  <c r="V47" i="8"/>
  <c r="W47" i="8"/>
  <c r="X47" i="8"/>
  <c r="O48" i="8"/>
  <c r="P48" i="8"/>
  <c r="Q48" i="8"/>
  <c r="R48" i="8"/>
  <c r="S48" i="8"/>
  <c r="T48" i="8"/>
  <c r="U48" i="8"/>
  <c r="V48" i="8"/>
  <c r="W48" i="8"/>
  <c r="X48" i="8"/>
  <c r="O49" i="8"/>
  <c r="P49" i="8"/>
  <c r="Q49" i="8"/>
  <c r="R49" i="8"/>
  <c r="S49" i="8"/>
  <c r="T49" i="8"/>
  <c r="U49" i="8"/>
  <c r="V49" i="8"/>
  <c r="W49" i="8"/>
  <c r="X49" i="8"/>
  <c r="O50" i="8"/>
  <c r="P50" i="8"/>
  <c r="Q50" i="8"/>
  <c r="R50" i="8"/>
  <c r="S50" i="8"/>
  <c r="T50" i="8"/>
  <c r="U50" i="8"/>
  <c r="V50" i="8"/>
  <c r="W50" i="8"/>
  <c r="X50" i="8"/>
  <c r="O51" i="8"/>
  <c r="P51" i="8"/>
  <c r="Q51" i="8"/>
  <c r="R51" i="8"/>
  <c r="S51" i="8"/>
  <c r="T51" i="8"/>
  <c r="U51" i="8"/>
  <c r="V51" i="8"/>
  <c r="W51" i="8"/>
  <c r="X51" i="8"/>
  <c r="O52" i="8"/>
  <c r="P52" i="8"/>
  <c r="Q52" i="8"/>
  <c r="R52" i="8"/>
  <c r="S52" i="8"/>
  <c r="T52" i="8"/>
  <c r="U52" i="8"/>
  <c r="V52" i="8"/>
  <c r="W52" i="8"/>
  <c r="X52" i="8"/>
  <c r="O53" i="8"/>
  <c r="P53" i="8"/>
  <c r="Q53" i="8"/>
  <c r="R53" i="8"/>
  <c r="S53" i="8"/>
  <c r="T53" i="8"/>
  <c r="U53" i="8"/>
  <c r="V53" i="8"/>
  <c r="W53" i="8"/>
  <c r="X53" i="8"/>
  <c r="O54" i="8"/>
  <c r="P54" i="8"/>
  <c r="Q54" i="8"/>
  <c r="R54" i="8"/>
  <c r="S54" i="8"/>
  <c r="T54" i="8"/>
  <c r="U54" i="8"/>
  <c r="V54" i="8"/>
  <c r="W54" i="8"/>
  <c r="X54" i="8"/>
  <c r="O55" i="8"/>
  <c r="P55" i="8"/>
  <c r="Q55" i="8"/>
  <c r="R55" i="8"/>
  <c r="S55" i="8"/>
  <c r="T55" i="8"/>
  <c r="U55" i="8"/>
  <c r="V55" i="8"/>
  <c r="W55" i="8"/>
  <c r="X55" i="8"/>
  <c r="O56" i="8"/>
  <c r="P56" i="8"/>
  <c r="Q56" i="8"/>
  <c r="R56" i="8"/>
  <c r="S56" i="8"/>
  <c r="T56" i="8"/>
  <c r="U56" i="8"/>
  <c r="V56" i="8"/>
  <c r="W56" i="8"/>
  <c r="X56" i="8"/>
  <c r="O57" i="8"/>
  <c r="P57" i="8"/>
  <c r="Q57" i="8"/>
  <c r="R57" i="8"/>
  <c r="S57" i="8"/>
  <c r="T57" i="8"/>
  <c r="U57" i="8"/>
  <c r="V57" i="8"/>
  <c r="W57" i="8"/>
  <c r="X57" i="8"/>
  <c r="O58" i="8"/>
  <c r="P58" i="8"/>
  <c r="Q58" i="8"/>
  <c r="R58" i="8"/>
  <c r="S58" i="8"/>
  <c r="T58" i="8"/>
  <c r="U58" i="8"/>
  <c r="V58" i="8"/>
  <c r="W58" i="8"/>
  <c r="X58" i="8"/>
  <c r="O59" i="8"/>
  <c r="P59" i="8"/>
  <c r="Q59" i="8"/>
  <c r="R59" i="8"/>
  <c r="S59" i="8"/>
  <c r="T59" i="8"/>
  <c r="U59" i="8"/>
  <c r="V59" i="8"/>
  <c r="W59" i="8"/>
  <c r="X59" i="8"/>
  <c r="O60" i="8"/>
  <c r="P60" i="8"/>
  <c r="Q60" i="8"/>
  <c r="R60" i="8"/>
  <c r="S60" i="8"/>
  <c r="T60" i="8"/>
  <c r="U60" i="8"/>
  <c r="V60" i="8"/>
  <c r="W60" i="8"/>
  <c r="X60" i="8"/>
  <c r="O61" i="8"/>
  <c r="P61" i="8"/>
  <c r="Q61" i="8"/>
  <c r="R61" i="8"/>
  <c r="S61" i="8"/>
  <c r="T61" i="8"/>
  <c r="U61" i="8"/>
  <c r="V61" i="8"/>
  <c r="W61" i="8"/>
  <c r="X61" i="8"/>
  <c r="O62" i="8"/>
  <c r="P62" i="8"/>
  <c r="Q62" i="8"/>
  <c r="R62" i="8"/>
  <c r="S62" i="8"/>
  <c r="T62" i="8"/>
  <c r="U62" i="8"/>
  <c r="V62" i="8"/>
  <c r="W62" i="8"/>
  <c r="X62" i="8"/>
  <c r="O63" i="8"/>
  <c r="P63" i="8"/>
  <c r="Q63" i="8"/>
  <c r="R63" i="8"/>
  <c r="S63" i="8"/>
  <c r="T63" i="8"/>
  <c r="U63" i="8"/>
  <c r="V63" i="8"/>
  <c r="W63" i="8"/>
  <c r="X63" i="8"/>
  <c r="O64" i="8"/>
  <c r="P64" i="8"/>
  <c r="Q64" i="8"/>
  <c r="R64" i="8"/>
  <c r="S64" i="8"/>
  <c r="T64" i="8"/>
  <c r="U64" i="8"/>
  <c r="V64" i="8"/>
  <c r="W64" i="8"/>
  <c r="X64" i="8"/>
  <c r="O65" i="8"/>
  <c r="P65" i="8"/>
  <c r="Q65" i="8"/>
  <c r="R65" i="8"/>
  <c r="S65" i="8"/>
  <c r="T65" i="8"/>
  <c r="U65" i="8"/>
  <c r="V65" i="8"/>
  <c r="W65" i="8"/>
  <c r="X65" i="8"/>
  <c r="O66" i="8"/>
  <c r="P66" i="8"/>
  <c r="Q66" i="8"/>
  <c r="R66" i="8"/>
  <c r="S66" i="8"/>
  <c r="T66" i="8"/>
  <c r="U66" i="8"/>
  <c r="V66" i="8"/>
  <c r="W66" i="8"/>
  <c r="X66" i="8"/>
  <c r="O67" i="8"/>
  <c r="P67" i="8"/>
  <c r="Q67" i="8"/>
  <c r="R67" i="8"/>
  <c r="S67" i="8"/>
  <c r="T67" i="8"/>
  <c r="U67" i="8"/>
  <c r="V67" i="8"/>
  <c r="W67" i="8"/>
  <c r="X67" i="8"/>
  <c r="O68" i="8"/>
  <c r="P68" i="8"/>
  <c r="Q68" i="8"/>
  <c r="R68" i="8"/>
  <c r="S68" i="8"/>
  <c r="T68" i="8"/>
  <c r="U68" i="8"/>
  <c r="V68" i="8"/>
  <c r="W68" i="8"/>
  <c r="X68" i="8"/>
  <c r="O69" i="8"/>
  <c r="P69" i="8"/>
  <c r="Q69" i="8"/>
  <c r="R69" i="8"/>
  <c r="S69" i="8"/>
  <c r="T69" i="8"/>
  <c r="U69" i="8"/>
  <c r="V69" i="8"/>
  <c r="W69" i="8"/>
  <c r="X69" i="8"/>
  <c r="O70" i="8"/>
  <c r="P70" i="8"/>
  <c r="Q70" i="8"/>
  <c r="R70" i="8"/>
  <c r="S70" i="8"/>
  <c r="T70" i="8"/>
  <c r="U70" i="8"/>
  <c r="V70" i="8"/>
  <c r="W70" i="8"/>
  <c r="X70" i="8"/>
  <c r="O71" i="8"/>
  <c r="P71" i="8"/>
  <c r="Q71" i="8"/>
  <c r="R71" i="8"/>
  <c r="S71" i="8"/>
  <c r="T71" i="8"/>
  <c r="U71" i="8"/>
  <c r="V71" i="8"/>
  <c r="W71" i="8"/>
  <c r="X71" i="8"/>
  <c r="O72" i="8"/>
  <c r="P72" i="8"/>
  <c r="Q72" i="8"/>
  <c r="R72" i="8"/>
  <c r="S72" i="8"/>
  <c r="T72" i="8"/>
  <c r="U72" i="8"/>
  <c r="V72" i="8"/>
  <c r="W72" i="8"/>
  <c r="X72" i="8"/>
  <c r="O73" i="8"/>
  <c r="P73" i="8"/>
  <c r="Q73" i="8"/>
  <c r="R73" i="8"/>
  <c r="S73" i="8"/>
  <c r="T73" i="8"/>
  <c r="U73" i="8"/>
  <c r="V73" i="8"/>
  <c r="W73" i="8"/>
  <c r="X73" i="8"/>
  <c r="O74" i="8"/>
  <c r="P74" i="8"/>
  <c r="Q74" i="8"/>
  <c r="R74" i="8"/>
  <c r="S74" i="8"/>
  <c r="T74" i="8"/>
  <c r="U74" i="8"/>
  <c r="V74" i="8"/>
  <c r="W74" i="8"/>
  <c r="X74" i="8"/>
  <c r="O75" i="8"/>
  <c r="P75" i="8"/>
  <c r="Q75" i="8"/>
  <c r="R75" i="8"/>
  <c r="S75" i="8"/>
  <c r="T75" i="8"/>
  <c r="U75" i="8"/>
  <c r="V75" i="8"/>
  <c r="W75" i="8"/>
  <c r="X75" i="8"/>
  <c r="O76" i="8"/>
  <c r="P76" i="8"/>
  <c r="Q76" i="8"/>
  <c r="R76" i="8"/>
  <c r="S76" i="8"/>
  <c r="T76" i="8"/>
  <c r="U76" i="8"/>
  <c r="V76" i="8"/>
  <c r="W76" i="8"/>
  <c r="X76" i="8"/>
  <c r="O77" i="8"/>
  <c r="P77" i="8"/>
  <c r="Q77" i="8"/>
  <c r="R77" i="8"/>
  <c r="S77" i="8"/>
  <c r="T77" i="8"/>
  <c r="U77" i="8"/>
  <c r="V77" i="8"/>
  <c r="W77" i="8"/>
  <c r="X77" i="8"/>
  <c r="O78" i="8"/>
  <c r="P78" i="8"/>
  <c r="Q78" i="8"/>
  <c r="R78" i="8"/>
  <c r="S78" i="8"/>
  <c r="T78" i="8"/>
  <c r="U78" i="8"/>
  <c r="V78" i="8"/>
  <c r="W78" i="8"/>
  <c r="X78" i="8"/>
  <c r="O79" i="8"/>
  <c r="P79" i="8"/>
  <c r="Q79" i="8"/>
  <c r="R79" i="8"/>
  <c r="S79" i="8"/>
  <c r="T79" i="8"/>
  <c r="U79" i="8"/>
  <c r="V79" i="8"/>
  <c r="W79" i="8"/>
  <c r="X79" i="8"/>
  <c r="O80" i="8"/>
  <c r="P80" i="8"/>
  <c r="Q80" i="8"/>
  <c r="R80" i="8"/>
  <c r="S80" i="8"/>
  <c r="T80" i="8"/>
  <c r="U80" i="8"/>
  <c r="V80" i="8"/>
  <c r="W80" i="8"/>
  <c r="X80" i="8"/>
  <c r="O81" i="8"/>
  <c r="P81" i="8"/>
  <c r="Q81" i="8"/>
  <c r="R81" i="8"/>
  <c r="S81" i="8"/>
  <c r="T81" i="8"/>
  <c r="U81" i="8"/>
  <c r="V81" i="8"/>
  <c r="W81" i="8"/>
  <c r="X81" i="8"/>
  <c r="O82" i="8"/>
  <c r="P82" i="8"/>
  <c r="Q82" i="8"/>
  <c r="R82" i="8"/>
  <c r="S82" i="8"/>
  <c r="T82" i="8"/>
  <c r="U82" i="8"/>
  <c r="V82" i="8"/>
  <c r="W82" i="8"/>
  <c r="X82" i="8"/>
  <c r="O83" i="8"/>
  <c r="P83" i="8"/>
  <c r="Q83" i="8"/>
  <c r="R83" i="8"/>
  <c r="S83" i="8"/>
  <c r="T83" i="8"/>
  <c r="U83" i="8"/>
  <c r="V83" i="8"/>
  <c r="W83" i="8"/>
  <c r="X83" i="8"/>
  <c r="O84" i="8"/>
  <c r="P84" i="8"/>
  <c r="Q84" i="8"/>
  <c r="R84" i="8"/>
  <c r="S84" i="8"/>
  <c r="T84" i="8"/>
  <c r="U84" i="8"/>
  <c r="V84" i="8"/>
  <c r="W84" i="8"/>
  <c r="X84" i="8"/>
  <c r="O85" i="8"/>
  <c r="P85" i="8"/>
  <c r="Q85" i="8"/>
  <c r="R85" i="8"/>
  <c r="S85" i="8"/>
  <c r="T85" i="8"/>
  <c r="U85" i="8"/>
  <c r="V85" i="8"/>
  <c r="W85" i="8"/>
  <c r="X85" i="8"/>
  <c r="O86" i="8"/>
  <c r="P86" i="8"/>
  <c r="Q86" i="8"/>
  <c r="R86" i="8"/>
  <c r="S86" i="8"/>
  <c r="T86" i="8"/>
  <c r="U86" i="8"/>
  <c r="V86" i="8"/>
  <c r="W86" i="8"/>
  <c r="X86" i="8"/>
  <c r="O87" i="8"/>
  <c r="P87" i="8"/>
  <c r="Q87" i="8"/>
  <c r="R87" i="8"/>
  <c r="S87" i="8"/>
  <c r="T87" i="8"/>
  <c r="U87" i="8"/>
  <c r="V87" i="8"/>
  <c r="W87" i="8"/>
  <c r="X87" i="8"/>
  <c r="O88" i="8"/>
  <c r="P88" i="8"/>
  <c r="Q88" i="8"/>
  <c r="R88" i="8"/>
  <c r="S88" i="8"/>
  <c r="T88" i="8"/>
  <c r="U88" i="8"/>
  <c r="V88" i="8"/>
  <c r="W88" i="8"/>
  <c r="X88" i="8"/>
  <c r="O89" i="8"/>
  <c r="P89" i="8"/>
  <c r="Q89" i="8"/>
  <c r="R89" i="8"/>
  <c r="S89" i="8"/>
  <c r="T89" i="8"/>
  <c r="U89" i="8"/>
  <c r="V89" i="8"/>
  <c r="W89" i="8"/>
  <c r="X89" i="8"/>
  <c r="O90" i="8"/>
  <c r="P90" i="8"/>
  <c r="Q90" i="8"/>
  <c r="R90" i="8"/>
  <c r="S90" i="8"/>
  <c r="T90" i="8"/>
  <c r="U90" i="8"/>
  <c r="V90" i="8"/>
  <c r="W90" i="8"/>
  <c r="X90" i="8"/>
  <c r="O91" i="8"/>
  <c r="P91" i="8"/>
  <c r="Q91" i="8"/>
  <c r="R91" i="8"/>
  <c r="S91" i="8"/>
  <c r="T91" i="8"/>
  <c r="U91" i="8"/>
  <c r="V91" i="8"/>
  <c r="W91" i="8"/>
  <c r="X91" i="8"/>
  <c r="O92" i="8"/>
  <c r="P92" i="8"/>
  <c r="Q92" i="8"/>
  <c r="R92" i="8"/>
  <c r="S92" i="8"/>
  <c r="T92" i="8"/>
  <c r="U92" i="8"/>
  <c r="V92" i="8"/>
  <c r="W92" i="8"/>
  <c r="X92" i="8"/>
  <c r="O93" i="8"/>
  <c r="P93" i="8"/>
  <c r="Q93" i="8"/>
  <c r="R93" i="8"/>
  <c r="S93" i="8"/>
  <c r="T93" i="8"/>
  <c r="U93" i="8"/>
  <c r="V93" i="8"/>
  <c r="W93" i="8"/>
  <c r="X93" i="8"/>
  <c r="O94" i="8"/>
  <c r="P94" i="8"/>
  <c r="Q94" i="8"/>
  <c r="R94" i="8"/>
  <c r="S94" i="8"/>
  <c r="T94" i="8"/>
  <c r="U94" i="8"/>
  <c r="V94" i="8"/>
  <c r="W94" i="8"/>
  <c r="X94" i="8"/>
  <c r="O95" i="8"/>
  <c r="P95" i="8"/>
  <c r="Q95" i="8"/>
  <c r="R95" i="8"/>
  <c r="S95" i="8"/>
  <c r="T95" i="8"/>
  <c r="U95" i="8"/>
  <c r="V95" i="8"/>
  <c r="W95" i="8"/>
  <c r="X95" i="8"/>
  <c r="O96" i="8"/>
  <c r="P96" i="8"/>
  <c r="Q96" i="8"/>
  <c r="R96" i="8"/>
  <c r="S96" i="8"/>
  <c r="T96" i="8"/>
  <c r="U96" i="8"/>
  <c r="V96" i="8"/>
  <c r="W96" i="8"/>
  <c r="X96" i="8"/>
  <c r="O97" i="8"/>
  <c r="P97" i="8"/>
  <c r="Q97" i="8"/>
  <c r="R97" i="8"/>
  <c r="S97" i="8"/>
  <c r="T97" i="8"/>
  <c r="U97" i="8"/>
  <c r="V97" i="8"/>
  <c r="W97" i="8"/>
  <c r="X97" i="8"/>
  <c r="O98" i="8"/>
  <c r="P98" i="8"/>
  <c r="Q98" i="8"/>
  <c r="R98" i="8"/>
  <c r="S98" i="8"/>
  <c r="T98" i="8"/>
  <c r="U98" i="8"/>
  <c r="V98" i="8"/>
  <c r="W98" i="8"/>
  <c r="X98" i="8"/>
  <c r="O99" i="8"/>
  <c r="P99" i="8"/>
  <c r="Q99" i="8"/>
  <c r="R99" i="8"/>
  <c r="S99" i="8"/>
  <c r="T99" i="8"/>
  <c r="U99" i="8"/>
  <c r="V99" i="8"/>
  <c r="W99" i="8"/>
  <c r="X99" i="8"/>
  <c r="O100" i="8"/>
  <c r="P100" i="8"/>
  <c r="Q100" i="8"/>
  <c r="R100" i="8"/>
  <c r="S100" i="8"/>
  <c r="T100" i="8"/>
  <c r="U100" i="8"/>
  <c r="V100" i="8"/>
  <c r="W100" i="8"/>
  <c r="X100" i="8"/>
  <c r="O101" i="8"/>
  <c r="P101" i="8"/>
  <c r="Q101" i="8"/>
  <c r="R101" i="8"/>
  <c r="S101" i="8"/>
  <c r="T101" i="8"/>
  <c r="U101" i="8"/>
  <c r="V101" i="8"/>
  <c r="W101" i="8"/>
  <c r="X101" i="8"/>
  <c r="O102" i="8"/>
  <c r="P102" i="8"/>
  <c r="Q102" i="8"/>
  <c r="R102" i="8"/>
  <c r="S102" i="8"/>
  <c r="T102" i="8"/>
  <c r="U102" i="8"/>
  <c r="V102" i="8"/>
  <c r="W102" i="8"/>
  <c r="X102" i="8"/>
  <c r="O103" i="8"/>
  <c r="P103" i="8"/>
  <c r="Q103" i="8"/>
  <c r="R103" i="8"/>
  <c r="S103" i="8"/>
  <c r="T103" i="8"/>
  <c r="U103" i="8"/>
  <c r="V103" i="8"/>
  <c r="W103" i="8"/>
  <c r="X103" i="8"/>
  <c r="O104" i="8"/>
  <c r="P104" i="8"/>
  <c r="Q104" i="8"/>
  <c r="R104" i="8"/>
  <c r="S104" i="8"/>
  <c r="T104" i="8"/>
  <c r="U104" i="8"/>
  <c r="V104" i="8"/>
  <c r="W104" i="8"/>
  <c r="X104" i="8"/>
  <c r="O105" i="8"/>
  <c r="P105" i="8"/>
  <c r="Q105" i="8"/>
  <c r="R105" i="8"/>
  <c r="S105" i="8"/>
  <c r="T105" i="8"/>
  <c r="U105" i="8"/>
  <c r="V105" i="8"/>
  <c r="W105" i="8"/>
  <c r="X105" i="8"/>
  <c r="O106" i="8"/>
  <c r="P106" i="8"/>
  <c r="Q106" i="8"/>
  <c r="R106" i="8"/>
  <c r="S106" i="8"/>
  <c r="T106" i="8"/>
  <c r="U106" i="8"/>
  <c r="V106" i="8"/>
  <c r="W106" i="8"/>
  <c r="X106" i="8"/>
  <c r="O107" i="8"/>
  <c r="P107" i="8"/>
  <c r="Q107" i="8"/>
  <c r="R107" i="8"/>
  <c r="S107" i="8"/>
  <c r="T107" i="8"/>
  <c r="U107" i="8"/>
  <c r="V107" i="8"/>
  <c r="W107" i="8"/>
  <c r="X107" i="8"/>
  <c r="O108" i="8"/>
  <c r="P108" i="8"/>
  <c r="Q108" i="8"/>
  <c r="R108" i="8"/>
  <c r="S108" i="8"/>
  <c r="T108" i="8"/>
  <c r="U108" i="8"/>
  <c r="V108" i="8"/>
  <c r="W108" i="8"/>
  <c r="X108" i="8"/>
  <c r="O109" i="8"/>
  <c r="P109" i="8"/>
  <c r="Q109" i="8"/>
  <c r="R109" i="8"/>
  <c r="S109" i="8"/>
  <c r="T109" i="8"/>
  <c r="U109" i="8"/>
  <c r="V109" i="8"/>
  <c r="W109" i="8"/>
  <c r="X109" i="8"/>
  <c r="O110" i="8"/>
  <c r="P110" i="8"/>
  <c r="Q110" i="8"/>
  <c r="R110" i="8"/>
  <c r="S110" i="8"/>
  <c r="T110" i="8"/>
  <c r="U110" i="8"/>
  <c r="V110" i="8"/>
  <c r="W110" i="8"/>
  <c r="X110" i="8"/>
  <c r="O111" i="8"/>
  <c r="P111" i="8"/>
  <c r="Q111" i="8"/>
  <c r="R111" i="8"/>
  <c r="S111" i="8"/>
  <c r="T111" i="8"/>
  <c r="U111" i="8"/>
  <c r="V111" i="8"/>
  <c r="W111" i="8"/>
  <c r="X111" i="8"/>
  <c r="O112" i="8"/>
  <c r="P112" i="8"/>
  <c r="Q112" i="8"/>
  <c r="R112" i="8"/>
  <c r="S112" i="8"/>
  <c r="T112" i="8"/>
  <c r="U112" i="8"/>
  <c r="V112" i="8"/>
  <c r="W112" i="8"/>
  <c r="X112" i="8"/>
  <c r="O113" i="8"/>
  <c r="P113" i="8"/>
  <c r="Q113" i="8"/>
  <c r="R113" i="8"/>
  <c r="S113" i="8"/>
  <c r="T113" i="8"/>
  <c r="U113" i="8"/>
  <c r="V113" i="8"/>
  <c r="W113" i="8"/>
  <c r="X113" i="8"/>
  <c r="O114" i="8"/>
  <c r="P114" i="8"/>
  <c r="Q114" i="8"/>
  <c r="R114" i="8"/>
  <c r="S114" i="8"/>
  <c r="T114" i="8"/>
  <c r="U114" i="8"/>
  <c r="V114" i="8"/>
  <c r="W114" i="8"/>
  <c r="X114" i="8"/>
  <c r="O115" i="8"/>
  <c r="P115" i="8"/>
  <c r="Q115" i="8"/>
  <c r="R115" i="8"/>
  <c r="S115" i="8"/>
  <c r="T115" i="8"/>
  <c r="U115" i="8"/>
  <c r="V115" i="8"/>
  <c r="W115" i="8"/>
  <c r="X115" i="8"/>
  <c r="O116" i="8"/>
  <c r="P116" i="8"/>
  <c r="Q116" i="8"/>
  <c r="R116" i="8"/>
  <c r="S116" i="8"/>
  <c r="T116" i="8"/>
  <c r="U116" i="8"/>
  <c r="V116" i="8"/>
  <c r="W116" i="8"/>
  <c r="X116" i="8"/>
  <c r="O117" i="8"/>
  <c r="P117" i="8"/>
  <c r="Q117" i="8"/>
  <c r="R117" i="8"/>
  <c r="S117" i="8"/>
  <c r="T117" i="8"/>
  <c r="U117" i="8"/>
  <c r="V117" i="8"/>
  <c r="W117" i="8"/>
  <c r="X117" i="8"/>
  <c r="O118" i="8"/>
  <c r="P118" i="8"/>
  <c r="Q118" i="8"/>
  <c r="R118" i="8"/>
  <c r="S118" i="8"/>
  <c r="T118" i="8"/>
  <c r="U118" i="8"/>
  <c r="V118" i="8"/>
  <c r="W118" i="8"/>
  <c r="X118" i="8"/>
  <c r="O119" i="8"/>
  <c r="P119" i="8"/>
  <c r="Q119" i="8"/>
  <c r="R119" i="8"/>
  <c r="S119" i="8"/>
  <c r="T119" i="8"/>
  <c r="U119" i="8"/>
  <c r="V119" i="8"/>
  <c r="W119" i="8"/>
  <c r="X119" i="8"/>
  <c r="O120" i="8"/>
  <c r="P120" i="8"/>
  <c r="Q120" i="8"/>
  <c r="R120" i="8"/>
  <c r="S120" i="8"/>
  <c r="T120" i="8"/>
  <c r="U120" i="8"/>
  <c r="V120" i="8"/>
  <c r="W120" i="8"/>
  <c r="X120" i="8"/>
  <c r="O121" i="8"/>
  <c r="P121" i="8"/>
  <c r="Q121" i="8"/>
  <c r="R121" i="8"/>
  <c r="S121" i="8"/>
  <c r="T121" i="8"/>
  <c r="U121" i="8"/>
  <c r="V121" i="8"/>
  <c r="W121" i="8"/>
  <c r="X121" i="8"/>
  <c r="O122" i="8"/>
  <c r="P122" i="8"/>
  <c r="Q122" i="8"/>
  <c r="R122" i="8"/>
  <c r="S122" i="8"/>
  <c r="T122" i="8"/>
  <c r="U122" i="8"/>
  <c r="V122" i="8"/>
  <c r="W122" i="8"/>
  <c r="X122" i="8"/>
  <c r="O123" i="8"/>
  <c r="P123" i="8"/>
  <c r="Q123" i="8"/>
  <c r="R123" i="8"/>
  <c r="S123" i="8"/>
  <c r="T123" i="8"/>
  <c r="U123" i="8"/>
  <c r="V123" i="8"/>
  <c r="W123" i="8"/>
  <c r="X123" i="8"/>
  <c r="O124" i="8"/>
  <c r="P124" i="8"/>
  <c r="Q124" i="8"/>
  <c r="R124" i="8"/>
  <c r="S124" i="8"/>
  <c r="T124" i="8"/>
  <c r="U124" i="8"/>
  <c r="V124" i="8"/>
  <c r="W124" i="8"/>
  <c r="X124" i="8"/>
  <c r="O125" i="8"/>
  <c r="P125" i="8"/>
  <c r="Q125" i="8"/>
  <c r="R125" i="8"/>
  <c r="S125" i="8"/>
  <c r="T125" i="8"/>
  <c r="U125" i="8"/>
  <c r="V125" i="8"/>
  <c r="W125" i="8"/>
  <c r="X125" i="8"/>
  <c r="O126" i="8"/>
  <c r="P126" i="8"/>
  <c r="Q126" i="8"/>
  <c r="R126" i="8"/>
  <c r="S126" i="8"/>
  <c r="T126" i="8"/>
  <c r="U126" i="8"/>
  <c r="V126" i="8"/>
  <c r="W126" i="8"/>
  <c r="X126" i="8"/>
  <c r="O127" i="8"/>
  <c r="P127" i="8"/>
  <c r="Q127" i="8"/>
  <c r="R127" i="8"/>
  <c r="S127" i="8"/>
  <c r="T127" i="8"/>
  <c r="U127" i="8"/>
  <c r="V127" i="8"/>
  <c r="W127" i="8"/>
  <c r="X127" i="8"/>
  <c r="O128" i="8"/>
  <c r="P128" i="8"/>
  <c r="Q128" i="8"/>
  <c r="R128" i="8"/>
  <c r="S128" i="8"/>
  <c r="T128" i="8"/>
  <c r="U128" i="8"/>
  <c r="V128" i="8"/>
  <c r="W128" i="8"/>
  <c r="X128" i="8"/>
  <c r="O129" i="8"/>
  <c r="P129" i="8"/>
  <c r="Q129" i="8"/>
  <c r="R129" i="8"/>
  <c r="S129" i="8"/>
  <c r="T129" i="8"/>
  <c r="U129" i="8"/>
  <c r="V129" i="8"/>
  <c r="W129" i="8"/>
  <c r="X129" i="8"/>
  <c r="O130" i="8"/>
  <c r="P130" i="8"/>
  <c r="Q130" i="8"/>
  <c r="R130" i="8"/>
  <c r="S130" i="8"/>
  <c r="T130" i="8"/>
  <c r="U130" i="8"/>
  <c r="V130" i="8"/>
  <c r="W130" i="8"/>
  <c r="X130" i="8"/>
  <c r="O131" i="8"/>
  <c r="P131" i="8"/>
  <c r="Q131" i="8"/>
  <c r="R131" i="8"/>
  <c r="S131" i="8"/>
  <c r="T131" i="8"/>
  <c r="U131" i="8"/>
  <c r="V131" i="8"/>
  <c r="W131" i="8"/>
  <c r="X131" i="8"/>
  <c r="O132" i="8"/>
  <c r="P132" i="8"/>
  <c r="Q132" i="8"/>
  <c r="R132" i="8"/>
  <c r="S132" i="8"/>
  <c r="T132" i="8"/>
  <c r="U132" i="8"/>
  <c r="V132" i="8"/>
  <c r="W132" i="8"/>
  <c r="X132" i="8"/>
  <c r="O133" i="8"/>
  <c r="P133" i="8"/>
  <c r="Q133" i="8"/>
  <c r="R133" i="8"/>
  <c r="S133" i="8"/>
  <c r="T133" i="8"/>
  <c r="U133" i="8"/>
  <c r="V133" i="8"/>
  <c r="W133" i="8"/>
  <c r="X133" i="8"/>
  <c r="O134" i="8"/>
  <c r="P134" i="8"/>
  <c r="Q134" i="8"/>
  <c r="R134" i="8"/>
  <c r="S134" i="8"/>
  <c r="T134" i="8"/>
  <c r="U134" i="8"/>
  <c r="V134" i="8"/>
  <c r="W134" i="8"/>
  <c r="X134" i="8"/>
  <c r="O135" i="8"/>
  <c r="P135" i="8"/>
  <c r="Q135" i="8"/>
  <c r="R135" i="8"/>
  <c r="S135" i="8"/>
  <c r="T135" i="8"/>
  <c r="U135" i="8"/>
  <c r="V135" i="8"/>
  <c r="W135" i="8"/>
  <c r="X135" i="8"/>
  <c r="O136" i="8"/>
  <c r="P136" i="8"/>
  <c r="Q136" i="8"/>
  <c r="R136" i="8"/>
  <c r="S136" i="8"/>
  <c r="T136" i="8"/>
  <c r="U136" i="8"/>
  <c r="V136" i="8"/>
  <c r="W136" i="8"/>
  <c r="X136" i="8"/>
  <c r="O137" i="8"/>
  <c r="P137" i="8"/>
  <c r="Q137" i="8"/>
  <c r="R137" i="8"/>
  <c r="S137" i="8"/>
  <c r="T137" i="8"/>
  <c r="U137" i="8"/>
  <c r="V137" i="8"/>
  <c r="W137" i="8"/>
  <c r="X137" i="8"/>
  <c r="O138" i="8"/>
  <c r="P138" i="8"/>
  <c r="Q138" i="8"/>
  <c r="R138" i="8"/>
  <c r="S138" i="8"/>
  <c r="T138" i="8"/>
  <c r="U138" i="8"/>
  <c r="V138" i="8"/>
  <c r="W138" i="8"/>
  <c r="X138" i="8"/>
  <c r="O139" i="8"/>
  <c r="P139" i="8"/>
  <c r="Q139" i="8"/>
  <c r="R139" i="8"/>
  <c r="S139" i="8"/>
  <c r="T139" i="8"/>
  <c r="U139" i="8"/>
  <c r="V139" i="8"/>
  <c r="W139" i="8"/>
  <c r="X139" i="8"/>
  <c r="O140" i="8"/>
  <c r="P140" i="8"/>
  <c r="Q140" i="8"/>
  <c r="R140" i="8"/>
  <c r="S140" i="8"/>
  <c r="T140" i="8"/>
  <c r="U140" i="8"/>
  <c r="V140" i="8"/>
  <c r="W140" i="8"/>
  <c r="X140" i="8"/>
  <c r="O141" i="8"/>
  <c r="P141" i="8"/>
  <c r="Q141" i="8"/>
  <c r="R141" i="8"/>
  <c r="S141" i="8"/>
  <c r="T141" i="8"/>
  <c r="U141" i="8"/>
  <c r="V141" i="8"/>
  <c r="W141" i="8"/>
  <c r="X141" i="8"/>
  <c r="O142" i="8"/>
  <c r="P142" i="8"/>
  <c r="Q142" i="8"/>
  <c r="R142" i="8"/>
  <c r="S142" i="8"/>
  <c r="T142" i="8"/>
  <c r="U142" i="8"/>
  <c r="V142" i="8"/>
  <c r="W142" i="8"/>
  <c r="X142" i="8"/>
  <c r="O143" i="8"/>
  <c r="P143" i="8"/>
  <c r="Q143" i="8"/>
  <c r="R143" i="8"/>
  <c r="S143" i="8"/>
  <c r="T143" i="8"/>
  <c r="U143" i="8"/>
  <c r="V143" i="8"/>
  <c r="W143" i="8"/>
  <c r="X143" i="8"/>
  <c r="O144" i="8"/>
  <c r="P144" i="8"/>
  <c r="Q144" i="8"/>
  <c r="R144" i="8"/>
  <c r="S144" i="8"/>
  <c r="T144" i="8"/>
  <c r="U144" i="8"/>
  <c r="V144" i="8"/>
  <c r="W144" i="8"/>
  <c r="X144" i="8"/>
  <c r="O145" i="8"/>
  <c r="P145" i="8"/>
  <c r="Q145" i="8"/>
  <c r="R145" i="8"/>
  <c r="S145" i="8"/>
  <c r="T145" i="8"/>
  <c r="U145" i="8"/>
  <c r="V145" i="8"/>
  <c r="W145" i="8"/>
  <c r="X145" i="8"/>
  <c r="O146" i="8"/>
  <c r="P146" i="8"/>
  <c r="Q146" i="8"/>
  <c r="R146" i="8"/>
  <c r="S146" i="8"/>
  <c r="T146" i="8"/>
  <c r="U146" i="8"/>
  <c r="V146" i="8"/>
  <c r="W146" i="8"/>
  <c r="X146" i="8"/>
  <c r="O147" i="8"/>
  <c r="P147" i="8"/>
  <c r="Q147" i="8"/>
  <c r="R147" i="8"/>
  <c r="S147" i="8"/>
  <c r="T147" i="8"/>
  <c r="U147" i="8"/>
  <c r="V147" i="8"/>
  <c r="W147" i="8"/>
  <c r="X147" i="8"/>
  <c r="O148" i="8"/>
  <c r="P148" i="8"/>
  <c r="Q148" i="8"/>
  <c r="R148" i="8"/>
  <c r="S148" i="8"/>
  <c r="T148" i="8"/>
  <c r="U148" i="8"/>
  <c r="V148" i="8"/>
  <c r="W148" i="8"/>
  <c r="X148" i="8"/>
  <c r="O149" i="8"/>
  <c r="P149" i="8"/>
  <c r="Q149" i="8"/>
  <c r="R149" i="8"/>
  <c r="S149" i="8"/>
  <c r="T149" i="8"/>
  <c r="U149" i="8"/>
  <c r="V149" i="8"/>
  <c r="W149" i="8"/>
  <c r="X149" i="8"/>
  <c r="O150" i="8"/>
  <c r="P150" i="8"/>
  <c r="Q150" i="8"/>
  <c r="R150" i="8"/>
  <c r="S150" i="8"/>
  <c r="T150" i="8"/>
  <c r="U150" i="8"/>
  <c r="V150" i="8"/>
  <c r="W150" i="8"/>
  <c r="X150" i="8"/>
  <c r="O151" i="8"/>
  <c r="P151" i="8"/>
  <c r="Q151" i="8"/>
  <c r="R151" i="8"/>
  <c r="S151" i="8"/>
  <c r="T151" i="8"/>
  <c r="U151" i="8"/>
  <c r="V151" i="8"/>
  <c r="W151" i="8"/>
  <c r="X151" i="8"/>
  <c r="O152" i="8"/>
  <c r="P152" i="8"/>
  <c r="Q152" i="8"/>
  <c r="R152" i="8"/>
  <c r="S152" i="8"/>
  <c r="T152" i="8"/>
  <c r="U152" i="8"/>
  <c r="V152" i="8"/>
  <c r="W152" i="8"/>
  <c r="X152" i="8"/>
  <c r="O153" i="8"/>
  <c r="P153" i="8"/>
  <c r="Q153" i="8"/>
  <c r="R153" i="8"/>
  <c r="S153" i="8"/>
  <c r="T153" i="8"/>
  <c r="U153" i="8"/>
  <c r="V153" i="8"/>
  <c r="W153" i="8"/>
  <c r="X153" i="8"/>
  <c r="O154" i="8"/>
  <c r="P154" i="8"/>
  <c r="Q154" i="8"/>
  <c r="R154" i="8"/>
  <c r="S154" i="8"/>
  <c r="T154" i="8"/>
  <c r="U154" i="8"/>
  <c r="V154" i="8"/>
  <c r="W154" i="8"/>
  <c r="X154" i="8"/>
  <c r="O155" i="8"/>
  <c r="P155" i="8"/>
  <c r="Q155" i="8"/>
  <c r="R155" i="8"/>
  <c r="S155" i="8"/>
  <c r="T155" i="8"/>
  <c r="U155" i="8"/>
  <c r="V155" i="8"/>
  <c r="W155" i="8"/>
  <c r="X155" i="8"/>
  <c r="O156" i="8"/>
  <c r="P156" i="8"/>
  <c r="Q156" i="8"/>
  <c r="R156" i="8"/>
  <c r="S156" i="8"/>
  <c r="T156" i="8"/>
  <c r="U156" i="8"/>
  <c r="V156" i="8"/>
  <c r="W156" i="8"/>
  <c r="X156" i="8"/>
  <c r="O157" i="8"/>
  <c r="P157" i="8"/>
  <c r="Q157" i="8"/>
  <c r="R157" i="8"/>
  <c r="S157" i="8"/>
  <c r="T157" i="8"/>
  <c r="U157" i="8"/>
  <c r="V157" i="8"/>
  <c r="W157" i="8"/>
  <c r="X157" i="8"/>
  <c r="O158" i="8"/>
  <c r="P158" i="8"/>
  <c r="Q158" i="8"/>
  <c r="R158" i="8"/>
  <c r="S158" i="8"/>
  <c r="T158" i="8"/>
  <c r="U158" i="8"/>
  <c r="V158" i="8"/>
  <c r="W158" i="8"/>
  <c r="X158" i="8"/>
  <c r="O159" i="8"/>
  <c r="P159" i="8"/>
  <c r="Q159" i="8"/>
  <c r="R159" i="8"/>
  <c r="S159" i="8"/>
  <c r="T159" i="8"/>
  <c r="U159" i="8"/>
  <c r="V159" i="8"/>
  <c r="W159" i="8"/>
  <c r="X159" i="8"/>
  <c r="O160" i="8"/>
  <c r="P160" i="8"/>
  <c r="Q160" i="8"/>
  <c r="R160" i="8"/>
  <c r="S160" i="8"/>
  <c r="T160" i="8"/>
  <c r="U160" i="8"/>
  <c r="V160" i="8"/>
  <c r="W160" i="8"/>
  <c r="X160" i="8"/>
  <c r="O161" i="8"/>
  <c r="P161" i="8"/>
  <c r="Q161" i="8"/>
  <c r="R161" i="8"/>
  <c r="S161" i="8"/>
  <c r="T161" i="8"/>
  <c r="U161" i="8"/>
  <c r="V161" i="8"/>
  <c r="W161" i="8"/>
  <c r="X161" i="8"/>
  <c r="O162" i="8"/>
  <c r="P162" i="8"/>
  <c r="Q162" i="8"/>
  <c r="R162" i="8"/>
  <c r="S162" i="8"/>
  <c r="T162" i="8"/>
  <c r="U162" i="8"/>
  <c r="V162" i="8"/>
  <c r="W162" i="8"/>
  <c r="X162" i="8"/>
  <c r="O163" i="8"/>
  <c r="P163" i="8"/>
  <c r="Q163" i="8"/>
  <c r="R163" i="8"/>
  <c r="S163" i="8"/>
  <c r="T163" i="8"/>
  <c r="U163" i="8"/>
  <c r="V163" i="8"/>
  <c r="W163" i="8"/>
  <c r="X163" i="8"/>
  <c r="O164" i="8"/>
  <c r="P164" i="8"/>
  <c r="Q164" i="8"/>
  <c r="R164" i="8"/>
  <c r="S164" i="8"/>
  <c r="T164" i="8"/>
  <c r="U164" i="8"/>
  <c r="V164" i="8"/>
  <c r="W164" i="8"/>
  <c r="X164" i="8"/>
  <c r="O165" i="8"/>
  <c r="P165" i="8"/>
  <c r="Q165" i="8"/>
  <c r="R165" i="8"/>
  <c r="S165" i="8"/>
  <c r="T165" i="8"/>
  <c r="U165" i="8"/>
  <c r="V165" i="8"/>
  <c r="W165" i="8"/>
  <c r="X165" i="8"/>
  <c r="O166" i="8"/>
  <c r="P166" i="8"/>
  <c r="Q166" i="8"/>
  <c r="R166" i="8"/>
  <c r="S166" i="8"/>
  <c r="T166" i="8"/>
  <c r="U166" i="8"/>
  <c r="V166" i="8"/>
  <c r="W166" i="8"/>
  <c r="X166" i="8"/>
  <c r="O167" i="8"/>
  <c r="P167" i="8"/>
  <c r="Q167" i="8"/>
  <c r="R167" i="8"/>
  <c r="S167" i="8"/>
  <c r="T167" i="8"/>
  <c r="U167" i="8"/>
  <c r="V167" i="8"/>
  <c r="W167" i="8"/>
  <c r="X167" i="8"/>
  <c r="O168" i="8"/>
  <c r="P168" i="8"/>
  <c r="Q168" i="8"/>
  <c r="R168" i="8"/>
  <c r="S168" i="8"/>
  <c r="T168" i="8"/>
  <c r="U168" i="8"/>
  <c r="V168" i="8"/>
  <c r="W168" i="8"/>
  <c r="X168" i="8"/>
  <c r="O169" i="8"/>
  <c r="P169" i="8"/>
  <c r="Q169" i="8"/>
  <c r="R169" i="8"/>
  <c r="S169" i="8"/>
  <c r="T169" i="8"/>
  <c r="U169" i="8"/>
  <c r="V169" i="8"/>
  <c r="W169" i="8"/>
  <c r="X169" i="8"/>
  <c r="O170" i="8"/>
  <c r="P170" i="8"/>
  <c r="Q170" i="8"/>
  <c r="R170" i="8"/>
  <c r="S170" i="8"/>
  <c r="T170" i="8"/>
  <c r="U170" i="8"/>
  <c r="V170" i="8"/>
  <c r="W170" i="8"/>
  <c r="X170" i="8"/>
  <c r="O171" i="8"/>
  <c r="P171" i="8"/>
  <c r="Q171" i="8"/>
  <c r="R171" i="8"/>
  <c r="S171" i="8"/>
  <c r="T171" i="8"/>
  <c r="U171" i="8"/>
  <c r="V171" i="8"/>
  <c r="W171" i="8"/>
  <c r="X171" i="8"/>
  <c r="O172" i="8"/>
  <c r="P172" i="8"/>
  <c r="Q172" i="8"/>
  <c r="R172" i="8"/>
  <c r="S172" i="8"/>
  <c r="T172" i="8"/>
  <c r="U172" i="8"/>
  <c r="V172" i="8"/>
  <c r="W172" i="8"/>
  <c r="X172" i="8"/>
  <c r="O173" i="8"/>
  <c r="P173" i="8"/>
  <c r="Q173" i="8"/>
  <c r="R173" i="8"/>
  <c r="S173" i="8"/>
  <c r="T173" i="8"/>
  <c r="U173" i="8"/>
  <c r="V173" i="8"/>
  <c r="W173" i="8"/>
  <c r="X173" i="8"/>
  <c r="O174" i="8"/>
  <c r="P174" i="8"/>
  <c r="Q174" i="8"/>
  <c r="R174" i="8"/>
  <c r="S174" i="8"/>
  <c r="T174" i="8"/>
  <c r="U174" i="8"/>
  <c r="V174" i="8"/>
  <c r="W174" i="8"/>
  <c r="X174" i="8"/>
  <c r="O175" i="8"/>
  <c r="P175" i="8"/>
  <c r="Q175" i="8"/>
  <c r="R175" i="8"/>
  <c r="S175" i="8"/>
  <c r="T175" i="8"/>
  <c r="U175" i="8"/>
  <c r="V175" i="8"/>
  <c r="W175" i="8"/>
  <c r="X175" i="8"/>
  <c r="O176" i="8"/>
  <c r="P176" i="8"/>
  <c r="Q176" i="8"/>
  <c r="R176" i="8"/>
  <c r="S176" i="8"/>
  <c r="T176" i="8"/>
  <c r="U176" i="8"/>
  <c r="V176" i="8"/>
  <c r="W176" i="8"/>
  <c r="X176" i="8"/>
  <c r="O177" i="8"/>
  <c r="P177" i="8"/>
  <c r="Q177" i="8"/>
  <c r="R177" i="8"/>
  <c r="S177" i="8"/>
  <c r="T177" i="8"/>
  <c r="U177" i="8"/>
  <c r="V177" i="8"/>
  <c r="W177" i="8"/>
  <c r="X177" i="8"/>
  <c r="O178" i="8"/>
  <c r="P178" i="8"/>
  <c r="Q178" i="8"/>
  <c r="R178" i="8"/>
  <c r="S178" i="8"/>
  <c r="T178" i="8"/>
  <c r="U178" i="8"/>
  <c r="V178" i="8"/>
  <c r="W178" i="8"/>
  <c r="X178" i="8"/>
  <c r="O179" i="8"/>
  <c r="P179" i="8"/>
  <c r="Q179" i="8"/>
  <c r="R179" i="8"/>
  <c r="S179" i="8"/>
  <c r="T179" i="8"/>
  <c r="U179" i="8"/>
  <c r="V179" i="8"/>
  <c r="W179" i="8"/>
  <c r="X179" i="8"/>
  <c r="O180" i="8"/>
  <c r="P180" i="8"/>
  <c r="Q180" i="8"/>
  <c r="R180" i="8"/>
  <c r="S180" i="8"/>
  <c r="T180" i="8"/>
  <c r="U180" i="8"/>
  <c r="V180" i="8"/>
  <c r="W180" i="8"/>
  <c r="X180" i="8"/>
  <c r="O181" i="8"/>
  <c r="P181" i="8"/>
  <c r="Q181" i="8"/>
  <c r="R181" i="8"/>
  <c r="S181" i="8"/>
  <c r="T181" i="8"/>
  <c r="U181" i="8"/>
  <c r="V181" i="8"/>
  <c r="W181" i="8"/>
  <c r="X181" i="8"/>
  <c r="O182" i="8"/>
  <c r="P182" i="8"/>
  <c r="Q182" i="8"/>
  <c r="R182" i="8"/>
  <c r="S182" i="8"/>
  <c r="T182" i="8"/>
  <c r="U182" i="8"/>
  <c r="V182" i="8"/>
  <c r="W182" i="8"/>
  <c r="X182" i="8"/>
  <c r="O183" i="8"/>
  <c r="P183" i="8"/>
  <c r="Q183" i="8"/>
  <c r="R183" i="8"/>
  <c r="S183" i="8"/>
  <c r="T183" i="8"/>
  <c r="U183" i="8"/>
  <c r="V183" i="8"/>
  <c r="W183" i="8"/>
  <c r="X183" i="8"/>
  <c r="O184" i="8"/>
  <c r="P184" i="8"/>
  <c r="Q184" i="8"/>
  <c r="R184" i="8"/>
  <c r="S184" i="8"/>
  <c r="T184" i="8"/>
  <c r="U184" i="8"/>
  <c r="V184" i="8"/>
  <c r="W184" i="8"/>
  <c r="X184" i="8"/>
  <c r="O185" i="8"/>
  <c r="P185" i="8"/>
  <c r="Q185" i="8"/>
  <c r="R185" i="8"/>
  <c r="S185" i="8"/>
  <c r="T185" i="8"/>
  <c r="U185" i="8"/>
  <c r="V185" i="8"/>
  <c r="W185" i="8"/>
  <c r="X185" i="8"/>
  <c r="O186" i="8"/>
  <c r="P186" i="8"/>
  <c r="Q186" i="8"/>
  <c r="R186" i="8"/>
  <c r="S186" i="8"/>
  <c r="T186" i="8"/>
  <c r="U186" i="8"/>
  <c r="V186" i="8"/>
  <c r="W186" i="8"/>
  <c r="X186" i="8"/>
  <c r="O187" i="8"/>
  <c r="P187" i="8"/>
  <c r="Q187" i="8"/>
  <c r="R187" i="8"/>
  <c r="S187" i="8"/>
  <c r="T187" i="8"/>
  <c r="U187" i="8"/>
  <c r="V187" i="8"/>
  <c r="W187" i="8"/>
  <c r="X187" i="8"/>
  <c r="O188" i="8"/>
  <c r="P188" i="8"/>
  <c r="Q188" i="8"/>
  <c r="R188" i="8"/>
  <c r="S188" i="8"/>
  <c r="T188" i="8"/>
  <c r="U188" i="8"/>
  <c r="V188" i="8"/>
  <c r="W188" i="8"/>
  <c r="X188" i="8"/>
  <c r="O189" i="8"/>
  <c r="P189" i="8"/>
  <c r="Q189" i="8"/>
  <c r="R189" i="8"/>
  <c r="S189" i="8"/>
  <c r="T189" i="8"/>
  <c r="U189" i="8"/>
  <c r="V189" i="8"/>
  <c r="W189" i="8"/>
  <c r="X189" i="8"/>
  <c r="O190" i="8"/>
  <c r="P190" i="8"/>
  <c r="Q190" i="8"/>
  <c r="R190" i="8"/>
  <c r="S190" i="8"/>
  <c r="T190" i="8"/>
  <c r="U190" i="8"/>
  <c r="V190" i="8"/>
  <c r="W190" i="8"/>
  <c r="X190" i="8"/>
  <c r="O191" i="8"/>
  <c r="P191" i="8"/>
  <c r="Q191" i="8"/>
  <c r="R191" i="8"/>
  <c r="S191" i="8"/>
  <c r="T191" i="8"/>
  <c r="U191" i="8"/>
  <c r="V191" i="8"/>
  <c r="W191" i="8"/>
  <c r="X191" i="8"/>
  <c r="O192" i="8"/>
  <c r="P192" i="8"/>
  <c r="Q192" i="8"/>
  <c r="R192" i="8"/>
  <c r="S192" i="8"/>
  <c r="T192" i="8"/>
  <c r="U192" i="8"/>
  <c r="V192" i="8"/>
  <c r="W192" i="8"/>
  <c r="X192" i="8"/>
  <c r="O193" i="8"/>
  <c r="P193" i="8"/>
  <c r="Q193" i="8"/>
  <c r="R193" i="8"/>
  <c r="S193" i="8"/>
  <c r="T193" i="8"/>
  <c r="U193" i="8"/>
  <c r="V193" i="8"/>
  <c r="W193" i="8"/>
  <c r="X193" i="8"/>
  <c r="O194" i="8"/>
  <c r="P194" i="8"/>
  <c r="Q194" i="8"/>
  <c r="R194" i="8"/>
  <c r="S194" i="8"/>
  <c r="T194" i="8"/>
  <c r="U194" i="8"/>
  <c r="V194" i="8"/>
  <c r="W194" i="8"/>
  <c r="X194" i="8"/>
  <c r="O195" i="8"/>
  <c r="P195" i="8"/>
  <c r="Q195" i="8"/>
  <c r="R195" i="8"/>
  <c r="S195" i="8"/>
  <c r="T195" i="8"/>
  <c r="U195" i="8"/>
  <c r="V195" i="8"/>
  <c r="W195" i="8"/>
  <c r="X195" i="8"/>
  <c r="O196" i="8"/>
  <c r="P196" i="8"/>
  <c r="Q196" i="8"/>
  <c r="R196" i="8"/>
  <c r="S196" i="8"/>
  <c r="T196" i="8"/>
  <c r="U196" i="8"/>
  <c r="V196" i="8"/>
  <c r="W196" i="8"/>
  <c r="X196" i="8"/>
  <c r="O197" i="8"/>
  <c r="P197" i="8"/>
  <c r="Q197" i="8"/>
  <c r="R197" i="8"/>
  <c r="S197" i="8"/>
  <c r="T197" i="8"/>
  <c r="U197" i="8"/>
  <c r="V197" i="8"/>
  <c r="W197" i="8"/>
  <c r="X197" i="8"/>
  <c r="O198" i="8"/>
  <c r="P198" i="8"/>
  <c r="Q198" i="8"/>
  <c r="R198" i="8"/>
  <c r="S198" i="8"/>
  <c r="T198" i="8"/>
  <c r="U198" i="8"/>
  <c r="V198" i="8"/>
  <c r="W198" i="8"/>
  <c r="X198" i="8"/>
  <c r="O199" i="8"/>
  <c r="P199" i="8"/>
  <c r="Q199" i="8"/>
  <c r="R199" i="8"/>
  <c r="S199" i="8"/>
  <c r="T199" i="8"/>
  <c r="U199" i="8"/>
  <c r="V199" i="8"/>
  <c r="W199" i="8"/>
  <c r="X199" i="8"/>
  <c r="O200" i="8"/>
  <c r="P200" i="8"/>
  <c r="Q200" i="8"/>
  <c r="R200" i="8"/>
  <c r="S200" i="8"/>
  <c r="T200" i="8"/>
  <c r="U200" i="8"/>
  <c r="V200" i="8"/>
  <c r="W200" i="8"/>
  <c r="X200" i="8"/>
  <c r="O201" i="8"/>
  <c r="P201" i="8"/>
  <c r="Q201" i="8"/>
  <c r="R201" i="8"/>
  <c r="S201" i="8"/>
  <c r="T201" i="8"/>
  <c r="U201" i="8"/>
  <c r="V201" i="8"/>
  <c r="W201" i="8"/>
  <c r="X201" i="8"/>
  <c r="O202" i="8"/>
  <c r="P202" i="8"/>
  <c r="Q202" i="8"/>
  <c r="R202" i="8"/>
  <c r="S202" i="8"/>
  <c r="T202" i="8"/>
  <c r="U202" i="8"/>
  <c r="V202" i="8"/>
  <c r="W202" i="8"/>
  <c r="X202" i="8"/>
  <c r="O203" i="8"/>
  <c r="P203" i="8"/>
  <c r="Q203" i="8"/>
  <c r="R203" i="8"/>
  <c r="S203" i="8"/>
  <c r="T203" i="8"/>
  <c r="U203" i="8"/>
  <c r="V203" i="8"/>
  <c r="W203" i="8"/>
  <c r="X203" i="8"/>
  <c r="O204" i="8"/>
  <c r="P204" i="8"/>
  <c r="Q204" i="8"/>
  <c r="R204" i="8"/>
  <c r="S204" i="8"/>
  <c r="T204" i="8"/>
  <c r="U204" i="8"/>
  <c r="V204" i="8"/>
  <c r="W204" i="8"/>
  <c r="X204" i="8"/>
  <c r="O205" i="8"/>
  <c r="P205" i="8"/>
  <c r="Q205" i="8"/>
  <c r="R205" i="8"/>
  <c r="S205" i="8"/>
  <c r="T205" i="8"/>
  <c r="U205" i="8"/>
  <c r="V205" i="8"/>
  <c r="W205" i="8"/>
  <c r="X205" i="8"/>
  <c r="O206" i="8"/>
  <c r="P206" i="8"/>
  <c r="Q206" i="8"/>
  <c r="R206" i="8"/>
  <c r="S206" i="8"/>
  <c r="T206" i="8"/>
  <c r="U206" i="8"/>
  <c r="V206" i="8"/>
  <c r="W206" i="8"/>
  <c r="X206" i="8"/>
  <c r="O207" i="8"/>
  <c r="P207" i="8"/>
  <c r="Q207" i="8"/>
  <c r="R207" i="8"/>
  <c r="S207" i="8"/>
  <c r="T207" i="8"/>
  <c r="U207" i="8"/>
  <c r="V207" i="8"/>
  <c r="W207" i="8"/>
  <c r="X207" i="8"/>
  <c r="O208" i="8"/>
  <c r="P208" i="8"/>
  <c r="Q208" i="8"/>
  <c r="R208" i="8"/>
  <c r="S208" i="8"/>
  <c r="T208" i="8"/>
  <c r="U208" i="8"/>
  <c r="V208" i="8"/>
  <c r="W208" i="8"/>
  <c r="X208" i="8"/>
  <c r="O209" i="8"/>
  <c r="P209" i="8"/>
  <c r="Q209" i="8"/>
  <c r="R209" i="8"/>
  <c r="S209" i="8"/>
  <c r="T209" i="8"/>
  <c r="U209" i="8"/>
  <c r="V209" i="8"/>
  <c r="W209" i="8"/>
  <c r="X209" i="8"/>
  <c r="O210" i="8"/>
  <c r="P210" i="8"/>
  <c r="Q210" i="8"/>
  <c r="R210" i="8"/>
  <c r="S210" i="8"/>
  <c r="T210" i="8"/>
  <c r="U210" i="8"/>
  <c r="V210" i="8"/>
  <c r="W210" i="8"/>
  <c r="X210" i="8"/>
  <c r="O211" i="8"/>
  <c r="P211" i="8"/>
  <c r="Q211" i="8"/>
  <c r="R211" i="8"/>
  <c r="S211" i="8"/>
  <c r="T211" i="8"/>
  <c r="U211" i="8"/>
  <c r="V211" i="8"/>
  <c r="W211" i="8"/>
  <c r="X211" i="8"/>
  <c r="O212" i="8"/>
  <c r="P212" i="8"/>
  <c r="Q212" i="8"/>
  <c r="R212" i="8"/>
  <c r="S212" i="8"/>
  <c r="T212" i="8"/>
  <c r="U212" i="8"/>
  <c r="V212" i="8"/>
  <c r="W212" i="8"/>
  <c r="X212" i="8"/>
  <c r="O213" i="8"/>
  <c r="P213" i="8"/>
  <c r="Q213" i="8"/>
  <c r="R213" i="8"/>
  <c r="S213" i="8"/>
  <c r="T213" i="8"/>
  <c r="U213" i="8"/>
  <c r="V213" i="8"/>
  <c r="W213" i="8"/>
  <c r="X213" i="8"/>
  <c r="O214" i="8"/>
  <c r="P214" i="8"/>
  <c r="Q214" i="8"/>
  <c r="R214" i="8"/>
  <c r="S214" i="8"/>
  <c r="T214" i="8"/>
  <c r="U214" i="8"/>
  <c r="V214" i="8"/>
  <c r="W214" i="8"/>
  <c r="X214" i="8"/>
  <c r="O215" i="8"/>
  <c r="P215" i="8"/>
  <c r="Q215" i="8"/>
  <c r="R215" i="8"/>
  <c r="S215" i="8"/>
  <c r="T215" i="8"/>
  <c r="U215" i="8"/>
  <c r="V215" i="8"/>
  <c r="W215" i="8"/>
  <c r="X215" i="8"/>
  <c r="O216" i="8"/>
  <c r="P216" i="8"/>
  <c r="Q216" i="8"/>
  <c r="R216" i="8"/>
  <c r="S216" i="8"/>
  <c r="T216" i="8"/>
  <c r="U216" i="8"/>
  <c r="V216" i="8"/>
  <c r="W216" i="8"/>
  <c r="X216" i="8"/>
  <c r="O217" i="8"/>
  <c r="P217" i="8"/>
  <c r="Q217" i="8"/>
  <c r="R217" i="8"/>
  <c r="S217" i="8"/>
  <c r="T217" i="8"/>
  <c r="U217" i="8"/>
  <c r="V217" i="8"/>
  <c r="W217" i="8"/>
  <c r="X217" i="8"/>
  <c r="O218" i="8"/>
  <c r="P218" i="8"/>
  <c r="Q218" i="8"/>
  <c r="R218" i="8"/>
  <c r="S218" i="8"/>
  <c r="T218" i="8"/>
  <c r="U218" i="8"/>
  <c r="V218" i="8"/>
  <c r="W218" i="8"/>
  <c r="X218" i="8"/>
  <c r="O219" i="8"/>
  <c r="P219" i="8"/>
  <c r="Q219" i="8"/>
  <c r="R219" i="8"/>
  <c r="S219" i="8"/>
  <c r="T219" i="8"/>
  <c r="U219" i="8"/>
  <c r="V219" i="8"/>
  <c r="W219" i="8"/>
  <c r="X219" i="8"/>
  <c r="O220" i="8"/>
  <c r="P220" i="8"/>
  <c r="Q220" i="8"/>
  <c r="R220" i="8"/>
  <c r="S220" i="8"/>
  <c r="T220" i="8"/>
  <c r="U220" i="8"/>
  <c r="V220" i="8"/>
  <c r="W220" i="8"/>
  <c r="X220" i="8"/>
  <c r="O221" i="8"/>
  <c r="P221" i="8"/>
  <c r="Q221" i="8"/>
  <c r="R221" i="8"/>
  <c r="S221" i="8"/>
  <c r="T221" i="8"/>
  <c r="U221" i="8"/>
  <c r="V221" i="8"/>
  <c r="W221" i="8"/>
  <c r="X221" i="8"/>
  <c r="O222" i="8"/>
  <c r="P222" i="8"/>
  <c r="Q222" i="8"/>
  <c r="R222" i="8"/>
  <c r="S222" i="8"/>
  <c r="T222" i="8"/>
  <c r="U222" i="8"/>
  <c r="V222" i="8"/>
  <c r="W222" i="8"/>
  <c r="X222" i="8"/>
  <c r="O223" i="8"/>
  <c r="P223" i="8"/>
  <c r="Q223" i="8"/>
  <c r="R223" i="8"/>
  <c r="S223" i="8"/>
  <c r="T223" i="8"/>
  <c r="U223" i="8"/>
  <c r="V223" i="8"/>
  <c r="W223" i="8"/>
  <c r="X223" i="8"/>
  <c r="O224" i="8"/>
  <c r="P224" i="8"/>
  <c r="Q224" i="8"/>
  <c r="R224" i="8"/>
  <c r="S224" i="8"/>
  <c r="T224" i="8"/>
  <c r="U224" i="8"/>
  <c r="V224" i="8"/>
  <c r="W224" i="8"/>
  <c r="X224" i="8"/>
  <c r="O225" i="8"/>
  <c r="P225" i="8"/>
  <c r="Q225" i="8"/>
  <c r="R225" i="8"/>
  <c r="S225" i="8"/>
  <c r="T225" i="8"/>
  <c r="U225" i="8"/>
  <c r="V225" i="8"/>
  <c r="W225" i="8"/>
  <c r="X225" i="8"/>
  <c r="O226" i="8"/>
  <c r="P226" i="8"/>
  <c r="Q226" i="8"/>
  <c r="R226" i="8"/>
  <c r="S226" i="8"/>
  <c r="T226" i="8"/>
  <c r="U226" i="8"/>
  <c r="V226" i="8"/>
  <c r="W226" i="8"/>
  <c r="X226" i="8"/>
  <c r="O227" i="8"/>
  <c r="P227" i="8"/>
  <c r="Q227" i="8"/>
  <c r="R227" i="8"/>
  <c r="S227" i="8"/>
  <c r="T227" i="8"/>
  <c r="U227" i="8"/>
  <c r="V227" i="8"/>
  <c r="W227" i="8"/>
  <c r="X227" i="8"/>
  <c r="O228" i="8"/>
  <c r="P228" i="8"/>
  <c r="Q228" i="8"/>
  <c r="R228" i="8"/>
  <c r="S228" i="8"/>
  <c r="T228" i="8"/>
  <c r="U228" i="8"/>
  <c r="V228" i="8"/>
  <c r="W228" i="8"/>
  <c r="X228" i="8"/>
  <c r="O229" i="8"/>
  <c r="P229" i="8"/>
  <c r="Q229" i="8"/>
  <c r="R229" i="8"/>
  <c r="S229" i="8"/>
  <c r="T229" i="8"/>
  <c r="U229" i="8"/>
  <c r="V229" i="8"/>
  <c r="W229" i="8"/>
  <c r="X229" i="8"/>
  <c r="O230" i="8"/>
  <c r="P230" i="8"/>
  <c r="Q230" i="8"/>
  <c r="R230" i="8"/>
  <c r="S230" i="8"/>
  <c r="T230" i="8"/>
  <c r="U230" i="8"/>
  <c r="V230" i="8"/>
  <c r="W230" i="8"/>
  <c r="X230" i="8"/>
  <c r="O231" i="8"/>
  <c r="P231" i="8"/>
  <c r="Q231" i="8"/>
  <c r="R231" i="8"/>
  <c r="S231" i="8"/>
  <c r="T231" i="8"/>
  <c r="U231" i="8"/>
  <c r="V231" i="8"/>
  <c r="W231" i="8"/>
  <c r="X231" i="8"/>
  <c r="O232" i="8"/>
  <c r="P232" i="8"/>
  <c r="Q232" i="8"/>
  <c r="R232" i="8"/>
  <c r="S232" i="8"/>
  <c r="T232" i="8"/>
  <c r="U232" i="8"/>
  <c r="V232" i="8"/>
  <c r="W232" i="8"/>
  <c r="X232" i="8"/>
  <c r="O233" i="8"/>
  <c r="P233" i="8"/>
  <c r="Q233" i="8"/>
  <c r="R233" i="8"/>
  <c r="S233" i="8"/>
  <c r="T233" i="8"/>
  <c r="U233" i="8"/>
  <c r="V233" i="8"/>
  <c r="W233" i="8"/>
  <c r="X233" i="8"/>
  <c r="O234" i="8"/>
  <c r="P234" i="8"/>
  <c r="Q234" i="8"/>
  <c r="R234" i="8"/>
  <c r="S234" i="8"/>
  <c r="T234" i="8"/>
  <c r="U234" i="8"/>
  <c r="V234" i="8"/>
  <c r="W234" i="8"/>
  <c r="X234" i="8"/>
  <c r="O235" i="8"/>
  <c r="P235" i="8"/>
  <c r="Q235" i="8"/>
  <c r="R235" i="8"/>
  <c r="S235" i="8"/>
  <c r="T235" i="8"/>
  <c r="U235" i="8"/>
  <c r="V235" i="8"/>
  <c r="W235" i="8"/>
  <c r="X235" i="8"/>
  <c r="O236" i="8"/>
  <c r="P236" i="8"/>
  <c r="Q236" i="8"/>
  <c r="R236" i="8"/>
  <c r="S236" i="8"/>
  <c r="T236" i="8"/>
  <c r="U236" i="8"/>
  <c r="V236" i="8"/>
  <c r="W236" i="8"/>
  <c r="X236" i="8"/>
  <c r="O237" i="8"/>
  <c r="P237" i="8"/>
  <c r="Q237" i="8"/>
  <c r="R237" i="8"/>
  <c r="S237" i="8"/>
  <c r="T237" i="8"/>
  <c r="U237" i="8"/>
  <c r="V237" i="8"/>
  <c r="W237" i="8"/>
  <c r="X237" i="8"/>
  <c r="O238" i="8"/>
  <c r="P238" i="8"/>
  <c r="Q238" i="8"/>
  <c r="R238" i="8"/>
  <c r="S238" i="8"/>
  <c r="T238" i="8"/>
  <c r="U238" i="8"/>
  <c r="V238" i="8"/>
  <c r="W238" i="8"/>
  <c r="X238" i="8"/>
  <c r="O239" i="8"/>
  <c r="P239" i="8"/>
  <c r="Q239" i="8"/>
  <c r="R239" i="8"/>
  <c r="S239" i="8"/>
  <c r="T239" i="8"/>
  <c r="U239" i="8"/>
  <c r="V239" i="8"/>
  <c r="W239" i="8"/>
  <c r="X239" i="8"/>
  <c r="O240" i="8"/>
  <c r="P240" i="8"/>
  <c r="Q240" i="8"/>
  <c r="R240" i="8"/>
  <c r="S240" i="8"/>
  <c r="T240" i="8"/>
  <c r="U240" i="8"/>
  <c r="V240" i="8"/>
  <c r="W240" i="8"/>
  <c r="X240" i="8"/>
  <c r="O241" i="8"/>
  <c r="P241" i="8"/>
  <c r="Q241" i="8"/>
  <c r="R241" i="8"/>
  <c r="S241" i="8"/>
  <c r="T241" i="8"/>
  <c r="U241" i="8"/>
  <c r="V241" i="8"/>
  <c r="W241" i="8"/>
  <c r="X241" i="8"/>
  <c r="O242" i="8"/>
  <c r="P242" i="8"/>
  <c r="Q242" i="8"/>
  <c r="R242" i="8"/>
  <c r="S242" i="8"/>
  <c r="T242" i="8"/>
  <c r="U242" i="8"/>
  <c r="V242" i="8"/>
  <c r="W242" i="8"/>
  <c r="X242" i="8"/>
  <c r="O243" i="8"/>
  <c r="P243" i="8"/>
  <c r="Q243" i="8"/>
  <c r="R243" i="8"/>
  <c r="S243" i="8"/>
  <c r="T243" i="8"/>
  <c r="U243" i="8"/>
  <c r="V243" i="8"/>
  <c r="W243" i="8"/>
  <c r="X243" i="8"/>
  <c r="O244" i="8"/>
  <c r="P244" i="8"/>
  <c r="Q244" i="8"/>
  <c r="R244" i="8"/>
  <c r="S244" i="8"/>
  <c r="T244" i="8"/>
  <c r="U244" i="8"/>
  <c r="V244" i="8"/>
  <c r="W244" i="8"/>
  <c r="X244" i="8"/>
  <c r="O245" i="8"/>
  <c r="P245" i="8"/>
  <c r="Q245" i="8"/>
  <c r="R245" i="8"/>
  <c r="S245" i="8"/>
  <c r="T245" i="8"/>
  <c r="U245" i="8"/>
  <c r="V245" i="8"/>
  <c r="W245" i="8"/>
  <c r="X245" i="8"/>
  <c r="O246" i="8"/>
  <c r="P246" i="8"/>
  <c r="Q246" i="8"/>
  <c r="R246" i="8"/>
  <c r="S246" i="8"/>
  <c r="T246" i="8"/>
  <c r="U246" i="8"/>
  <c r="V246" i="8"/>
  <c r="W246" i="8"/>
  <c r="X246" i="8"/>
  <c r="O247" i="8"/>
  <c r="P247" i="8"/>
  <c r="Q247" i="8"/>
  <c r="R247" i="8"/>
  <c r="S247" i="8"/>
  <c r="T247" i="8"/>
  <c r="U247" i="8"/>
  <c r="V247" i="8"/>
  <c r="W247" i="8"/>
  <c r="X247" i="8"/>
  <c r="O248" i="8"/>
  <c r="P248" i="8"/>
  <c r="Q248" i="8"/>
  <c r="R248" i="8"/>
  <c r="S248" i="8"/>
  <c r="T248" i="8"/>
  <c r="U248" i="8"/>
  <c r="V248" i="8"/>
  <c r="W248" i="8"/>
  <c r="X248" i="8"/>
  <c r="O249" i="8"/>
  <c r="P249" i="8"/>
  <c r="Q249" i="8"/>
  <c r="R249" i="8"/>
  <c r="S249" i="8"/>
  <c r="T249" i="8"/>
  <c r="U249" i="8"/>
  <c r="V249" i="8"/>
  <c r="W249" i="8"/>
  <c r="X249" i="8"/>
  <c r="O250" i="8"/>
  <c r="P250" i="8"/>
  <c r="Q250" i="8"/>
  <c r="R250" i="8"/>
  <c r="S250" i="8"/>
  <c r="T250" i="8"/>
  <c r="U250" i="8"/>
  <c r="V250" i="8"/>
  <c r="W250" i="8"/>
  <c r="X250" i="8"/>
  <c r="O251" i="8"/>
  <c r="P251" i="8"/>
  <c r="Q251" i="8"/>
  <c r="R251" i="8"/>
  <c r="S251" i="8"/>
  <c r="T251" i="8"/>
  <c r="U251" i="8"/>
  <c r="V251" i="8"/>
  <c r="W251" i="8"/>
  <c r="X251" i="8"/>
  <c r="O252" i="8"/>
  <c r="P252" i="8"/>
  <c r="Q252" i="8"/>
  <c r="R252" i="8"/>
  <c r="S252" i="8"/>
  <c r="T252" i="8"/>
  <c r="U252" i="8"/>
  <c r="V252" i="8"/>
  <c r="W252" i="8"/>
  <c r="X252" i="8"/>
  <c r="O253" i="8"/>
  <c r="P253" i="8"/>
  <c r="Q253" i="8"/>
  <c r="R253" i="8"/>
  <c r="S253" i="8"/>
  <c r="T253" i="8"/>
  <c r="U253" i="8"/>
  <c r="V253" i="8"/>
  <c r="W253" i="8"/>
  <c r="X25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3" i="8"/>
  <c r="C13" i="6" l="1" a="1"/>
  <c r="C25" i="6" a="1"/>
  <c r="I31" i="6" l="1"/>
  <c r="J27" i="6"/>
  <c r="C31" i="6"/>
  <c r="D31" i="6"/>
  <c r="C33" i="6"/>
  <c r="J30" i="6"/>
  <c r="I28" i="6"/>
  <c r="I33" i="6"/>
  <c r="J32" i="6"/>
  <c r="E25" i="6"/>
  <c r="G27" i="6"/>
  <c r="C29" i="6"/>
  <c r="J29" i="6"/>
  <c r="D30" i="6"/>
  <c r="D28" i="6"/>
  <c r="C27" i="6"/>
  <c r="H25" i="6"/>
  <c r="D26" i="6"/>
  <c r="K27" i="6"/>
  <c r="F32" i="6"/>
  <c r="D33" i="6"/>
  <c r="H26" i="6"/>
  <c r="I27" i="6"/>
  <c r="F28" i="6"/>
  <c r="I32" i="6"/>
  <c r="E28" i="6"/>
  <c r="F26" i="6"/>
  <c r="F30" i="6"/>
  <c r="H33" i="6"/>
  <c r="G26" i="6"/>
  <c r="H27" i="6"/>
  <c r="K33" i="6"/>
  <c r="J28" i="6"/>
  <c r="K31" i="6"/>
  <c r="E32" i="6"/>
  <c r="K28" i="6"/>
  <c r="J26" i="6"/>
  <c r="G30" i="6"/>
  <c r="F29" i="6"/>
  <c r="C25" i="6"/>
  <c r="F25" i="6"/>
  <c r="K32" i="6"/>
  <c r="H32" i="6"/>
  <c r="F33" i="6"/>
  <c r="J31" i="6"/>
  <c r="E30" i="6"/>
  <c r="G29" i="6"/>
  <c r="F27" i="6"/>
  <c r="H31" i="6"/>
  <c r="C30" i="6"/>
  <c r="I29" i="6"/>
  <c r="D32" i="6"/>
  <c r="D29" i="6"/>
  <c r="I25" i="6"/>
  <c r="J33" i="6"/>
  <c r="E27" i="6"/>
  <c r="H29" i="6"/>
  <c r="H28" i="6"/>
  <c r="F31" i="6"/>
  <c r="K29" i="6"/>
  <c r="I30" i="6"/>
  <c r="K30" i="6"/>
  <c r="K26" i="6"/>
  <c r="G31" i="6"/>
  <c r="E31" i="6"/>
  <c r="D25" i="6"/>
  <c r="C26" i="6"/>
  <c r="G33" i="6"/>
  <c r="G32" i="6"/>
  <c r="C32" i="6"/>
  <c r="E29" i="6"/>
  <c r="G28" i="6"/>
  <c r="H30" i="6"/>
  <c r="C28" i="6"/>
  <c r="G25" i="6"/>
  <c r="E33" i="6"/>
  <c r="K25" i="6"/>
  <c r="J25" i="6"/>
  <c r="D27" i="6"/>
  <c r="E26" i="6"/>
  <c r="I26" i="6"/>
  <c r="F18" i="6"/>
  <c r="G13" i="6"/>
  <c r="D18" i="6"/>
  <c r="I20" i="6"/>
  <c r="K16" i="6"/>
  <c r="C17" i="6"/>
  <c r="G16" i="6"/>
  <c r="E21" i="6"/>
  <c r="I18" i="6"/>
  <c r="K18" i="6"/>
  <c r="F20" i="6"/>
  <c r="H17" i="6"/>
  <c r="D13" i="6"/>
  <c r="D19" i="6"/>
  <c r="D17" i="6"/>
  <c r="C19" i="6"/>
  <c r="G21" i="6"/>
  <c r="I19" i="6"/>
  <c r="J18" i="6"/>
  <c r="G17" i="6"/>
  <c r="G19" i="6"/>
  <c r="H14" i="6"/>
  <c r="K20" i="6"/>
  <c r="C15" i="6"/>
  <c r="I21" i="6"/>
  <c r="K21" i="6"/>
  <c r="J13" i="6"/>
  <c r="H20" i="6"/>
  <c r="J19" i="6"/>
  <c r="J16" i="6"/>
  <c r="K15" i="6"/>
  <c r="D20" i="6"/>
  <c r="J17" i="6"/>
  <c r="F14" i="6"/>
  <c r="H15" i="6"/>
  <c r="K17" i="6"/>
  <c r="J21" i="6"/>
  <c r="C16" i="6"/>
  <c r="E16" i="6"/>
  <c r="E17" i="6"/>
  <c r="J20" i="6"/>
  <c r="D21" i="6"/>
  <c r="F21" i="6"/>
  <c r="C21" i="6"/>
  <c r="C20" i="6"/>
  <c r="F13" i="6"/>
  <c r="H13" i="6"/>
  <c r="D15" i="6"/>
  <c r="K19" i="6"/>
  <c r="H16" i="6"/>
  <c r="G14" i="6"/>
  <c r="E19" i="6"/>
  <c r="H19" i="6"/>
  <c r="E20" i="6"/>
  <c r="I17" i="6"/>
  <c r="E18" i="6"/>
  <c r="H18" i="6"/>
  <c r="F15" i="6"/>
  <c r="J14" i="6"/>
  <c r="K14" i="6"/>
  <c r="I15" i="6"/>
  <c r="G18" i="6"/>
  <c r="H21" i="6"/>
  <c r="I16" i="6"/>
  <c r="K13" i="6"/>
  <c r="F17" i="6"/>
  <c r="I13" i="6"/>
  <c r="E15" i="6"/>
  <c r="D16" i="6"/>
  <c r="G15" i="6"/>
  <c r="E13" i="6"/>
  <c r="C18" i="6"/>
  <c r="C14" i="6"/>
  <c r="F16" i="6"/>
  <c r="I14" i="6"/>
  <c r="F19" i="6"/>
  <c r="J15" i="6"/>
  <c r="D14" i="6"/>
  <c r="G20" i="6"/>
  <c r="E14" i="6"/>
  <c r="C13" i="6"/>
</calcChain>
</file>

<file path=xl/sharedStrings.xml><?xml version="1.0" encoding="utf-8"?>
<sst xmlns="http://schemas.openxmlformats.org/spreadsheetml/2006/main" count="189" uniqueCount="45">
  <si>
    <t>Price</t>
  </si>
  <si>
    <t>Return</t>
  </si>
  <si>
    <t>EWS</t>
  </si>
  <si>
    <t>RE</t>
  </si>
  <si>
    <t>Time</t>
  </si>
  <si>
    <t>Total</t>
  </si>
  <si>
    <t>Gain</t>
  </si>
  <si>
    <t>price</t>
  </si>
  <si>
    <t>SD</t>
  </si>
  <si>
    <t>weight</t>
  </si>
  <si>
    <t>Eigenvalue</t>
  </si>
  <si>
    <t>Eigenvector</t>
  </si>
  <si>
    <t>Eigenmode</t>
  </si>
  <si>
    <t>inverse</t>
  </si>
  <si>
    <t>Projection</t>
  </si>
  <si>
    <t>EWP</t>
  </si>
  <si>
    <t>volume</t>
  </si>
  <si>
    <t>0.1</t>
  </si>
  <si>
    <t>Sign-corrected eigenvectors</t>
  </si>
  <si>
    <t>Risk wt</t>
  </si>
  <si>
    <t>Eigenmodes sorted with decreasing magnitude of eigenvalues</t>
  </si>
  <si>
    <t>Cumulative variance</t>
  </si>
  <si>
    <t>First 4 modes are selected for 80% cumulative variance.</t>
  </si>
  <si>
    <t>Equal weight stock (EWS)</t>
  </si>
  <si>
    <t>Risk equity (RE)</t>
  </si>
  <si>
    <t>Equal weight portfolio (EWP)</t>
  </si>
  <si>
    <t>Correlation</t>
  </si>
  <si>
    <t>Eigenvalues and eigenvectors copied from the matrix area</t>
  </si>
  <si>
    <t>Minimum</t>
  </si>
  <si>
    <t>equal wt</t>
  </si>
  <si>
    <t>stock wt</t>
  </si>
  <si>
    <t>Diversified risk parity (DRP)</t>
  </si>
  <si>
    <t>DRP</t>
  </si>
  <si>
    <t>MSFT</t>
  </si>
  <si>
    <t>AAPL</t>
  </si>
  <si>
    <t>AMZN</t>
  </si>
  <si>
    <t>GOOGL</t>
  </si>
  <si>
    <t>TSLA</t>
  </si>
  <si>
    <t>GOOG</t>
  </si>
  <si>
    <t>FB</t>
  </si>
  <si>
    <t>NVDA</t>
  </si>
  <si>
    <t>BRK-B</t>
  </si>
  <si>
    <t>JPM</t>
  </si>
  <si>
    <t>GSPC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</si>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</sst>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0"/>
      <name val="Arial"/>
    </font>
    <font>
      <sz val="10"/>
      <name val="Calibri"/>
      <family val="2"/>
      <scheme val="minor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Fill="1" applyAlignment="1">
      <alignment horizontal="center" vertical="center"/>
    </xf>
    <xf numFmtId="0" fontId="1" fillId="3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vertical="center"/>
    </xf>
    <xf numFmtId="0" fontId="1" fillId="0" borderId="0" xfId="0" applyNumberFormat="1" applyFont="1" applyFill="1" applyAlignment="1">
      <alignment vertical="center"/>
    </xf>
    <xf numFmtId="0" fontId="1" fillId="2" borderId="0" xfId="0" applyNumberFormat="1" applyFont="1" applyFill="1" applyAlignment="1">
      <alignment vertical="center"/>
    </xf>
    <xf numFmtId="0" fontId="1" fillId="5" borderId="0" xfId="0" applyNumberFormat="1" applyFont="1" applyFill="1" applyAlignment="1">
      <alignment vertical="center"/>
    </xf>
    <xf numFmtId="0" fontId="1" fillId="5" borderId="0" xfId="0" applyNumberFormat="1" applyFont="1" applyFill="1" applyAlignment="1">
      <alignment horizontal="center" vertical="center"/>
    </xf>
    <xf numFmtId="0" fontId="1" fillId="6" borderId="0" xfId="0" applyNumberFormat="1" applyFont="1" applyFill="1" applyAlignment="1">
      <alignment vertical="center"/>
    </xf>
    <xf numFmtId="0" fontId="1" fillId="6" borderId="0" xfId="0" applyNumberFormat="1" applyFont="1" applyFill="1" applyAlignment="1">
      <alignment horizontal="center" vertical="center"/>
    </xf>
    <xf numFmtId="0" fontId="1" fillId="6" borderId="0" xfId="0" applyNumberFormat="1" applyFont="1" applyFill="1" applyAlignment="1">
      <alignment horizontal="left" vertical="center"/>
    </xf>
    <xf numFmtId="0" fontId="1" fillId="7" borderId="0" xfId="0" applyNumberFormat="1" applyFont="1" applyFill="1" applyAlignment="1">
      <alignment vertical="center"/>
    </xf>
    <xf numFmtId="0" fontId="1" fillId="7" borderId="0" xfId="0" applyNumberFormat="1" applyFont="1" applyFill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  <xf numFmtId="14" fontId="1" fillId="0" borderId="0" xfId="0" applyNumberFormat="1" applyFont="1"/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CCFF"/>
      <color rgb="FFFFFF99"/>
      <color rgb="FFFFCC99"/>
      <color rgb="FFFFCCCC"/>
      <color rgb="FFCCFF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Eigenvalue vs Eigenmode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PCA!$Z$56</c:f>
              <c:strCache>
                <c:ptCount val="1"/>
                <c:pt idx="0">
                  <c:v>Eigenvalue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cat>
            <c:numRef>
              <c:f>PCA!$AA$55:$AJ$55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PCA!$AA$56:$AJ$56</c:f>
              <c:numCache>
                <c:formatCode>General</c:formatCode>
                <c:ptCount val="10"/>
                <c:pt idx="0">
                  <c:v>4.6608447513825277</c:v>
                </c:pt>
                <c:pt idx="1">
                  <c:v>1.6832657767821888</c:v>
                </c:pt>
                <c:pt idx="2">
                  <c:v>0.95842052424187862</c:v>
                </c:pt>
                <c:pt idx="3">
                  <c:v>0.63281743606138419</c:v>
                </c:pt>
                <c:pt idx="4">
                  <c:v>0.5546029447156674</c:v>
                </c:pt>
                <c:pt idx="5">
                  <c:v>0.51954371022497259</c:v>
                </c:pt>
                <c:pt idx="6">
                  <c:v>0.43592969767935252</c:v>
                </c:pt>
                <c:pt idx="7">
                  <c:v>0.30613487932526956</c:v>
                </c:pt>
                <c:pt idx="8">
                  <c:v>0.22679548118452963</c:v>
                </c:pt>
                <c:pt idx="9">
                  <c:v>2.1644798402232501E-2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76515360"/>
        <c:axId val="-1776514272"/>
      </c:lineChart>
      <c:catAx>
        <c:axId val="-177651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6514272"/>
        <c:crosses val="autoZero"/>
        <c:auto val="1"/>
        <c:lblAlgn val="ctr"/>
        <c:lblOffset val="100"/>
        <c:noMultiLvlLbl val="0"/>
      </c:catAx>
      <c:valAx>
        <c:axId val="-177651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651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2nd and 3rd Principal</a:t>
            </a:r>
            <a:r>
              <a:rPr lang="en-US" baseline="0"/>
              <a:t> components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PCA!$Z$57</c:f>
              <c:strCache>
                <c:ptCount val="1"/>
                <c:pt idx="0">
                  <c:v>MSFT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PCA!$AB$57</c:f>
              <c:numCache>
                <c:formatCode>General</c:formatCode>
                <c:ptCount val="1"/>
                <c:pt idx="0">
                  <c:v>-9.7418718557065853E-2</c:v>
                </c:pt>
              </c:numCache>
            </c:numRef>
          </c:xVal>
          <c:yVal>
            <c:numRef>
              <c:f>PCA!$AC$57</c:f>
              <c:numCache>
                <c:formatCode>General</c:formatCode>
                <c:ptCount val="1"/>
                <c:pt idx="0">
                  <c:v>7.7517506607752987E-2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PCA!$Z$58</c:f>
              <c:strCache>
                <c:ptCount val="1"/>
                <c:pt idx="0">
                  <c:v>AAPL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PCA!$AB$58</c:f>
              <c:numCache>
                <c:formatCode>General</c:formatCode>
                <c:ptCount val="1"/>
                <c:pt idx="0">
                  <c:v>-7.3820046252953408E-2</c:v>
                </c:pt>
              </c:numCache>
            </c:numRef>
          </c:xVal>
          <c:yVal>
            <c:numRef>
              <c:f>PCA!$AC$58</c:f>
              <c:numCache>
                <c:formatCode>General</c:formatCode>
                <c:ptCount val="1"/>
                <c:pt idx="0">
                  <c:v>-0.13920107739773982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PCA!$Z$59</c:f>
              <c:strCache>
                <c:ptCount val="1"/>
                <c:pt idx="0">
                  <c:v>AMZN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PCA!$AB$59</c:f>
              <c:numCache>
                <c:formatCode>General</c:formatCode>
                <c:ptCount val="1"/>
                <c:pt idx="0">
                  <c:v>-0.16950880518835493</c:v>
                </c:pt>
              </c:numCache>
            </c:numRef>
          </c:xVal>
          <c:yVal>
            <c:numRef>
              <c:f>PCA!$AC$59</c:f>
              <c:numCache>
                <c:formatCode>General</c:formatCode>
                <c:ptCount val="1"/>
                <c:pt idx="0">
                  <c:v>2.4132571758131993E-2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PCA!$Z$60</c:f>
              <c:strCache>
                <c:ptCount val="1"/>
                <c:pt idx="0">
                  <c:v>GOOGL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PCA!$AB$60</c:f>
              <c:numCache>
                <c:formatCode>General</c:formatCode>
                <c:ptCount val="1"/>
                <c:pt idx="0">
                  <c:v>5.7416745067922249E-2</c:v>
                </c:pt>
              </c:numCache>
            </c:numRef>
          </c:xVal>
          <c:yVal>
            <c:numRef>
              <c:f>PCA!$AC$60</c:f>
              <c:numCache>
                <c:formatCode>General</c:formatCode>
                <c:ptCount val="1"/>
                <c:pt idx="0">
                  <c:v>0.34324832433735836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PCA!$Z$61</c:f>
              <c:strCache>
                <c:ptCount val="1"/>
                <c:pt idx="0">
                  <c:v>TSLA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PCA!$AB$61</c:f>
              <c:numCache>
                <c:formatCode>General</c:formatCode>
                <c:ptCount val="1"/>
                <c:pt idx="0">
                  <c:v>-0.10418044959252988</c:v>
                </c:pt>
              </c:numCache>
            </c:numRef>
          </c:xVal>
          <c:yVal>
            <c:numRef>
              <c:f>PCA!$AC$61</c:f>
              <c:numCache>
                <c:formatCode>General</c:formatCode>
                <c:ptCount val="1"/>
                <c:pt idx="0">
                  <c:v>-0.77423684453374808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PCA!$Z$62</c:f>
              <c:strCache>
                <c:ptCount val="1"/>
                <c:pt idx="0">
                  <c:v>GOOG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PCA!$AB$62</c:f>
              <c:numCache>
                <c:formatCode>General</c:formatCode>
                <c:ptCount val="1"/>
                <c:pt idx="0">
                  <c:v>6.9776125948091211E-2</c:v>
                </c:pt>
              </c:numCache>
            </c:numRef>
          </c:xVal>
          <c:yVal>
            <c:numRef>
              <c:f>PCA!$AC$62</c:f>
              <c:numCache>
                <c:formatCode>General</c:formatCode>
                <c:ptCount val="1"/>
                <c:pt idx="0">
                  <c:v>0.3430941733919094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PCA!$Z$63</c:f>
              <c:strCache>
                <c:ptCount val="1"/>
                <c:pt idx="0">
                  <c:v>FB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PCA!$AB$63</c:f>
              <c:numCache>
                <c:formatCode>General</c:formatCode>
                <c:ptCount val="1"/>
                <c:pt idx="0">
                  <c:v>-4.3927031152229831E-2</c:v>
                </c:pt>
              </c:numCache>
            </c:numRef>
          </c:xVal>
          <c:yVal>
            <c:numRef>
              <c:f>PCA!$AC$63</c:f>
              <c:numCache>
                <c:formatCode>General</c:formatCode>
                <c:ptCount val="1"/>
                <c:pt idx="0">
                  <c:v>5.7531390850595991E-2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PCA!$Z$64</c:f>
              <c:strCache>
                <c:ptCount val="1"/>
                <c:pt idx="0">
                  <c:v>NVDA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PCA!$AB$64</c:f>
              <c:numCache>
                <c:formatCode>General</c:formatCode>
                <c:ptCount val="1"/>
                <c:pt idx="0">
                  <c:v>-0.1608126650960659</c:v>
                </c:pt>
              </c:numCache>
            </c:numRef>
          </c:xVal>
          <c:yVal>
            <c:numRef>
              <c:f>PCA!$AC$64</c:f>
              <c:numCache>
                <c:formatCode>General</c:formatCode>
                <c:ptCount val="1"/>
                <c:pt idx="0">
                  <c:v>-0.31829632893325011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PCA!$Z$65</c:f>
              <c:strCache>
                <c:ptCount val="1"/>
                <c:pt idx="0">
                  <c:v>BRK-B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PCA!$AB$65</c:f>
              <c:numCache>
                <c:formatCode>General</c:formatCode>
                <c:ptCount val="1"/>
                <c:pt idx="0">
                  <c:v>0.65795555840672304</c:v>
                </c:pt>
              </c:numCache>
            </c:numRef>
          </c:xVal>
          <c:yVal>
            <c:numRef>
              <c:f>PCA!$AC$65</c:f>
              <c:numCache>
                <c:formatCode>General</c:formatCode>
                <c:ptCount val="1"/>
                <c:pt idx="0">
                  <c:v>-9.1303776504543951E-2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PCA!$Z$66</c:f>
              <c:strCache>
                <c:ptCount val="1"/>
                <c:pt idx="0">
                  <c:v>JPM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PCA!$AB$66</c:f>
              <c:numCache>
                <c:formatCode>General</c:formatCode>
                <c:ptCount val="1"/>
                <c:pt idx="0">
                  <c:v>0.69037105125161202</c:v>
                </c:pt>
              </c:numCache>
            </c:numRef>
          </c:xVal>
          <c:yVal>
            <c:numRef>
              <c:f>PCA!$AC$66</c:f>
              <c:numCache>
                <c:formatCode>General</c:formatCode>
                <c:ptCount val="1"/>
                <c:pt idx="0">
                  <c:v>-0.16154629751847444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03745216"/>
        <c:axId val="-1803749024"/>
      </c:scatterChart>
      <c:valAx>
        <c:axId val="-180374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FF0000"/>
                    </a:solidFill>
                  </a:rPr>
                  <a:t>PC2</a:t>
                </a:r>
              </a:p>
            </c:rich>
          </c:tx>
          <c:layout>
            <c:manualLayout>
              <c:xMode val="edge"/>
              <c:yMode val="edge"/>
              <c:x val="0.95842352496542871"/>
              <c:y val="0.3972845686901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03749024"/>
        <c:crosses val="autoZero"/>
        <c:crossBetween val="midCat"/>
      </c:valAx>
      <c:valAx>
        <c:axId val="-1803749024"/>
        <c:scaling>
          <c:orientation val="minMax"/>
        </c:scaling>
        <c:delete val="0"/>
        <c:axPos val="l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FF0000"/>
                    </a:solidFill>
                  </a:rPr>
                  <a:t>PC3</a:t>
                </a:r>
              </a:p>
            </c:rich>
          </c:tx>
          <c:layout>
            <c:manualLayout>
              <c:xMode val="edge"/>
              <c:yMode val="edge"/>
              <c:x val="0.23324306854687249"/>
              <c:y val="0.11250119159986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03745216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value</a:t>
            </a:r>
            <a:r>
              <a:rPr lang="en-US" baseline="0"/>
              <a:t> of 4 strategies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Equal Weight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PCA!$BA$5:$BA$256</c:f>
              <c:numCache>
                <c:formatCode>General</c:formatCode>
                <c:ptCount val="2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</c:numCache>
            </c:numRef>
          </c:cat>
          <c:val>
            <c:numRef>
              <c:f>PCA!$BB$5:$BB$256</c:f>
              <c:numCache>
                <c:formatCode>General</c:formatCode>
                <c:ptCount val="252"/>
                <c:pt idx="0">
                  <c:v>0.99999999999999989</c:v>
                </c:pt>
                <c:pt idx="1">
                  <c:v>1.0064393641852161</c:v>
                </c:pt>
                <c:pt idx="2">
                  <c:v>1.029317035714125</c:v>
                </c:pt>
                <c:pt idx="3">
                  <c:v>1.0363287505796175</c:v>
                </c:pt>
                <c:pt idx="4">
                  <c:v>1.0423755438837752</c:v>
                </c:pt>
                <c:pt idx="5">
                  <c:v>1.0322715138098764</c:v>
                </c:pt>
                <c:pt idx="6">
                  <c:v>1.0515304500898803</c:v>
                </c:pt>
                <c:pt idx="7">
                  <c:v>1.0549406282123512</c:v>
                </c:pt>
                <c:pt idx="8">
                  <c:v>1.0548697258235806</c:v>
                </c:pt>
                <c:pt idx="9">
                  <c:v>1.056444529984973</c:v>
                </c:pt>
                <c:pt idx="10">
                  <c:v>1.0666109831242316</c:v>
                </c:pt>
                <c:pt idx="11">
                  <c:v>1.0667361759527598</c:v>
                </c:pt>
                <c:pt idx="12">
                  <c:v>1.0406202846870372</c:v>
                </c:pt>
                <c:pt idx="13">
                  <c:v>1.043958715445686</c:v>
                </c:pt>
                <c:pt idx="14">
                  <c:v>1.0402754179609102</c:v>
                </c:pt>
                <c:pt idx="15">
                  <c:v>1.0448806680332479</c:v>
                </c:pt>
                <c:pt idx="16">
                  <c:v>1.0532523768697044</c:v>
                </c:pt>
                <c:pt idx="17">
                  <c:v>1.05380924743534</c:v>
                </c:pt>
                <c:pt idx="18">
                  <c:v>1.0600769906905634</c:v>
                </c:pt>
                <c:pt idx="19">
                  <c:v>1.0621435935432295</c:v>
                </c:pt>
                <c:pt idx="20">
                  <c:v>1.0603194960142139</c:v>
                </c:pt>
                <c:pt idx="21">
                  <c:v>1.0555252506683901</c:v>
                </c:pt>
                <c:pt idx="22">
                  <c:v>1.057120081261099</c:v>
                </c:pt>
                <c:pt idx="23">
                  <c:v>1.0624821327218468</c:v>
                </c:pt>
                <c:pt idx="24">
                  <c:v>1.0803537728772616</c:v>
                </c:pt>
                <c:pt idx="25">
                  <c:v>1.0786567800880831</c:v>
                </c:pt>
                <c:pt idx="26">
                  <c:v>1.0789435913557348</c:v>
                </c:pt>
                <c:pt idx="27">
                  <c:v>1.0836172280526915</c:v>
                </c:pt>
                <c:pt idx="28">
                  <c:v>1.0746726478918105</c:v>
                </c:pt>
                <c:pt idx="29">
                  <c:v>1.0829295553044906</c:v>
                </c:pt>
                <c:pt idx="30">
                  <c:v>1.0743911387281411</c:v>
                </c:pt>
                <c:pt idx="31">
                  <c:v>1.1124602515637809</c:v>
                </c:pt>
                <c:pt idx="32">
                  <c:v>1.1299748632653175</c:v>
                </c:pt>
                <c:pt idx="33">
                  <c:v>1.1055384864744335</c:v>
                </c:pt>
                <c:pt idx="34">
                  <c:v>1.1085046161081924</c:v>
                </c:pt>
                <c:pt idx="35">
                  <c:v>1.1157703907289747</c:v>
                </c:pt>
                <c:pt idx="36">
                  <c:v>1.1037739765725527</c:v>
                </c:pt>
                <c:pt idx="37">
                  <c:v>1.0936918067577281</c:v>
                </c:pt>
                <c:pt idx="38">
                  <c:v>1.1115997640349307</c:v>
                </c:pt>
                <c:pt idx="39">
                  <c:v>1.1389997164014649</c:v>
                </c:pt>
                <c:pt idx="40">
                  <c:v>1.1487673437407033</c:v>
                </c:pt>
                <c:pt idx="41">
                  <c:v>1.1499748776496348</c:v>
                </c:pt>
                <c:pt idx="42">
                  <c:v>1.1614160819970081</c:v>
                </c:pt>
                <c:pt idx="43">
                  <c:v>1.1649898713721552</c:v>
                </c:pt>
                <c:pt idx="44">
                  <c:v>1.1345958082675363</c:v>
                </c:pt>
                <c:pt idx="45">
                  <c:v>1.1332797114119735</c:v>
                </c:pt>
                <c:pt idx="46">
                  <c:v>1.1074002239201484</c:v>
                </c:pt>
                <c:pt idx="47">
                  <c:v>1.1390538482126975</c:v>
                </c:pt>
                <c:pt idx="48">
                  <c:v>1.1597648055901904</c:v>
                </c:pt>
                <c:pt idx="49">
                  <c:v>1.1720656465101054</c:v>
                </c:pt>
                <c:pt idx="50">
                  <c:v>1.1784850609876734</c:v>
                </c:pt>
                <c:pt idx="51">
                  <c:v>1.1829558936333999</c:v>
                </c:pt>
                <c:pt idx="52">
                  <c:v>1.1928251104114262</c:v>
                </c:pt>
                <c:pt idx="53">
                  <c:v>1.1885068233292855</c:v>
                </c:pt>
                <c:pt idx="54">
                  <c:v>1.1839354976036942</c:v>
                </c:pt>
                <c:pt idx="55">
                  <c:v>1.1880317479937497</c:v>
                </c:pt>
                <c:pt idx="56">
                  <c:v>1.1914795187034395</c:v>
                </c:pt>
                <c:pt idx="57">
                  <c:v>1.194920318059578</c:v>
                </c:pt>
                <c:pt idx="58">
                  <c:v>1.1929099551475606</c:v>
                </c:pt>
                <c:pt idx="59">
                  <c:v>1.1863285646916135</c:v>
                </c:pt>
                <c:pt idx="60">
                  <c:v>1.1787030754153183</c:v>
                </c:pt>
                <c:pt idx="61">
                  <c:v>1.1501545488360019</c:v>
                </c:pt>
                <c:pt idx="62">
                  <c:v>1.1490889598657517</c:v>
                </c:pt>
                <c:pt idx="63">
                  <c:v>1.1654839027339039</c:v>
                </c:pt>
                <c:pt idx="64">
                  <c:v>1.1194274308125545</c:v>
                </c:pt>
                <c:pt idx="65">
                  <c:v>1.1209844347696132</c:v>
                </c:pt>
                <c:pt idx="66">
                  <c:v>1.1549634668434781</c:v>
                </c:pt>
                <c:pt idx="67">
                  <c:v>1.136453149508333</c:v>
                </c:pt>
                <c:pt idx="68">
                  <c:v>1.112928731930461</c:v>
                </c:pt>
                <c:pt idx="69">
                  <c:v>1.0988619548512855</c:v>
                </c:pt>
                <c:pt idx="70">
                  <c:v>1.1121183852744088</c:v>
                </c:pt>
                <c:pt idx="71">
                  <c:v>1.0808503033923196</c:v>
                </c:pt>
                <c:pt idx="72">
                  <c:v>1.1282820403243696</c:v>
                </c:pt>
                <c:pt idx="73">
                  <c:v>1.1296661974770208</c:v>
                </c:pt>
                <c:pt idx="74">
                  <c:v>1.1542586858577542</c:v>
                </c:pt>
                <c:pt idx="75">
                  <c:v>1.1430203516020621</c:v>
                </c:pt>
                <c:pt idx="76">
                  <c:v>1.1497452655350067</c:v>
                </c:pt>
                <c:pt idx="77">
                  <c:v>1.1494599936653094</c:v>
                </c:pt>
                <c:pt idx="78">
                  <c:v>1.158523227303921</c:v>
                </c:pt>
                <c:pt idx="79">
                  <c:v>1.1275582791133625</c:v>
                </c:pt>
                <c:pt idx="80">
                  <c:v>1.1318586501425425</c:v>
                </c:pt>
                <c:pt idx="81">
                  <c:v>1.141578169968108</c:v>
                </c:pt>
                <c:pt idx="82">
                  <c:v>1.1381131351183884</c:v>
                </c:pt>
                <c:pt idx="83">
                  <c:v>1.1210942962624957</c:v>
                </c:pt>
                <c:pt idx="84">
                  <c:v>1.1208462815144946</c:v>
                </c:pt>
                <c:pt idx="85">
                  <c:v>1.1269510632776747</c:v>
                </c:pt>
                <c:pt idx="86">
                  <c:v>1.1306568025790846</c:v>
                </c:pt>
                <c:pt idx="87">
                  <c:v>1.1317698767762496</c:v>
                </c:pt>
                <c:pt idx="88">
                  <c:v>1.147972231562471</c:v>
                </c:pt>
                <c:pt idx="89">
                  <c:v>1.1681491310795213</c:v>
                </c:pt>
                <c:pt idx="90">
                  <c:v>1.1999315618458681</c:v>
                </c:pt>
                <c:pt idx="91">
                  <c:v>1.1963129256018337</c:v>
                </c:pt>
                <c:pt idx="92">
                  <c:v>1.2064965523468112</c:v>
                </c:pt>
                <c:pt idx="93">
                  <c:v>1.2164362358303171</c:v>
                </c:pt>
                <c:pt idx="94">
                  <c:v>1.2257882751719213</c:v>
                </c:pt>
                <c:pt idx="95">
                  <c:v>1.2327580170741919</c:v>
                </c:pt>
                <c:pt idx="96">
                  <c:v>1.2519070026372165</c:v>
                </c:pt>
                <c:pt idx="97">
                  <c:v>1.2307272005020817</c:v>
                </c:pt>
                <c:pt idx="98">
                  <c:v>1.2524228422785431</c:v>
                </c:pt>
                <c:pt idx="99">
                  <c:v>1.2534702182402064</c:v>
                </c:pt>
                <c:pt idx="100">
                  <c:v>1.2406934314869227</c:v>
                </c:pt>
                <c:pt idx="101">
                  <c:v>1.2322059514387074</c:v>
                </c:pt>
                <c:pt idx="102">
                  <c:v>1.2436364245295515</c:v>
                </c:pt>
                <c:pt idx="103">
                  <c:v>1.2213084705258288</c:v>
                </c:pt>
                <c:pt idx="104">
                  <c:v>1.2421603446882292</c:v>
                </c:pt>
                <c:pt idx="105">
                  <c:v>1.2500886717612438</c:v>
                </c:pt>
                <c:pt idx="106">
                  <c:v>1.242527385259627</c:v>
                </c:pt>
                <c:pt idx="107">
                  <c:v>1.2466811655220602</c:v>
                </c:pt>
                <c:pt idx="108">
                  <c:v>1.2606315047231713</c:v>
                </c:pt>
                <c:pt idx="109">
                  <c:v>1.2554140671784524</c:v>
                </c:pt>
                <c:pt idx="110">
                  <c:v>1.2463195359394921</c:v>
                </c:pt>
                <c:pt idx="111">
                  <c:v>1.2282995313361043</c:v>
                </c:pt>
                <c:pt idx="112">
                  <c:v>1.2290943103487342</c:v>
                </c:pt>
                <c:pt idx="113">
                  <c:v>1.2426165362146631</c:v>
                </c:pt>
                <c:pt idx="114">
                  <c:v>1.2505559806056505</c:v>
                </c:pt>
                <c:pt idx="115">
                  <c:v>1.2178759324646666</c:v>
                </c:pt>
                <c:pt idx="116">
                  <c:v>1.2073380979107537</c:v>
                </c:pt>
                <c:pt idx="117">
                  <c:v>1.1774635455142708</c:v>
                </c:pt>
                <c:pt idx="118">
                  <c:v>1.1864573644023149</c:v>
                </c:pt>
                <c:pt idx="119">
                  <c:v>1.2148992745360045</c:v>
                </c:pt>
                <c:pt idx="120">
                  <c:v>1.2114493137894853</c:v>
                </c:pt>
                <c:pt idx="121">
                  <c:v>1.1997085598810231</c:v>
                </c:pt>
                <c:pt idx="122">
                  <c:v>1.1977509553397596</c:v>
                </c:pt>
                <c:pt idx="123">
                  <c:v>1.2176504466072835</c:v>
                </c:pt>
                <c:pt idx="124">
                  <c:v>1.2154847541730667</c:v>
                </c:pt>
                <c:pt idx="125">
                  <c:v>1.2430630277027466</c:v>
                </c:pt>
                <c:pt idx="126">
                  <c:v>1.2425163394723238</c:v>
                </c:pt>
                <c:pt idx="127">
                  <c:v>1.2483093959006304</c:v>
                </c:pt>
                <c:pt idx="128">
                  <c:v>1.2477558221379879</c:v>
                </c:pt>
                <c:pt idx="129">
                  <c:v>1.2504241521392758</c:v>
                </c:pt>
                <c:pt idx="130">
                  <c:v>1.2531678210243928</c:v>
                </c:pt>
                <c:pt idx="131">
                  <c:v>1.2533701145962104</c:v>
                </c:pt>
                <c:pt idx="132">
                  <c:v>1.2421878759148033</c:v>
                </c:pt>
                <c:pt idx="133">
                  <c:v>1.2646821692993151</c:v>
                </c:pt>
                <c:pt idx="134">
                  <c:v>1.2690188467613348</c:v>
                </c:pt>
                <c:pt idx="135">
                  <c:v>1.2686863299622808</c:v>
                </c:pt>
                <c:pt idx="136">
                  <c:v>1.2660252821669176</c:v>
                </c:pt>
                <c:pt idx="137">
                  <c:v>1.2721888233699328</c:v>
                </c:pt>
                <c:pt idx="138">
                  <c:v>1.2760572418471205</c:v>
                </c:pt>
                <c:pt idx="139">
                  <c:v>1.2839746708376341</c:v>
                </c:pt>
                <c:pt idx="140">
                  <c:v>1.2735091733444759</c:v>
                </c:pt>
                <c:pt idx="141">
                  <c:v>1.2731696952257281</c:v>
                </c:pt>
                <c:pt idx="142">
                  <c:v>1.2854838608146537</c:v>
                </c:pt>
                <c:pt idx="143">
                  <c:v>1.274011694844728</c:v>
                </c:pt>
                <c:pt idx="144">
                  <c:v>1.2814474333955368</c:v>
                </c:pt>
                <c:pt idx="145">
                  <c:v>1.293469078154287</c:v>
                </c:pt>
                <c:pt idx="146">
                  <c:v>1.300613718206191</c:v>
                </c:pt>
                <c:pt idx="147">
                  <c:v>1.3090867373189203</c:v>
                </c:pt>
                <c:pt idx="148">
                  <c:v>1.3051822854031834</c:v>
                </c:pt>
                <c:pt idx="149">
                  <c:v>1.3250720525898583</c:v>
                </c:pt>
                <c:pt idx="150">
                  <c:v>1.3235498491568638</c:v>
                </c:pt>
                <c:pt idx="151">
                  <c:v>1.3226144929608858</c:v>
                </c:pt>
                <c:pt idx="152">
                  <c:v>1.3306673338911046</c:v>
                </c:pt>
                <c:pt idx="153">
                  <c:v>1.3461335283492168</c:v>
                </c:pt>
                <c:pt idx="154">
                  <c:v>1.3493335226203873</c:v>
                </c:pt>
                <c:pt idx="155">
                  <c:v>1.34855755372144</c:v>
                </c:pt>
                <c:pt idx="156">
                  <c:v>1.3363291616243735</c:v>
                </c:pt>
                <c:pt idx="157">
                  <c:v>1.3496424811303895</c:v>
                </c:pt>
                <c:pt idx="158">
                  <c:v>1.3638524354615678</c:v>
                </c:pt>
                <c:pt idx="159">
                  <c:v>1.3577659901552361</c:v>
                </c:pt>
                <c:pt idx="160">
                  <c:v>1.3551754506288041</c:v>
                </c:pt>
                <c:pt idx="161">
                  <c:v>1.3423984344904059</c:v>
                </c:pt>
                <c:pt idx="162">
                  <c:v>1.3266010035150357</c:v>
                </c:pt>
                <c:pt idx="163">
                  <c:v>1.3118183454228021</c:v>
                </c:pt>
                <c:pt idx="164">
                  <c:v>1.3285266345888846</c:v>
                </c:pt>
                <c:pt idx="165">
                  <c:v>1.3433814602818566</c:v>
                </c:pt>
                <c:pt idx="166">
                  <c:v>1.3497247612164929</c:v>
                </c:pt>
                <c:pt idx="167">
                  <c:v>1.3694683148690754</c:v>
                </c:pt>
                <c:pt idx="168">
                  <c:v>1.3771213332071675</c:v>
                </c:pt>
                <c:pt idx="169">
                  <c:v>1.3616171125799292</c:v>
                </c:pt>
                <c:pt idx="170">
                  <c:v>1.3681903176270889</c:v>
                </c:pt>
                <c:pt idx="171">
                  <c:v>1.3714848539654414</c:v>
                </c:pt>
                <c:pt idx="172">
                  <c:v>1.3576855435043271</c:v>
                </c:pt>
                <c:pt idx="173">
                  <c:v>1.3627944414396145</c:v>
                </c:pt>
                <c:pt idx="174">
                  <c:v>1.3712041185476869</c:v>
                </c:pt>
                <c:pt idx="175">
                  <c:v>1.3731217764442836</c:v>
                </c:pt>
                <c:pt idx="176">
                  <c:v>1.3850467362798815</c:v>
                </c:pt>
                <c:pt idx="177">
                  <c:v>1.3841485394341875</c:v>
                </c:pt>
                <c:pt idx="178">
                  <c:v>1.388229241410698</c:v>
                </c:pt>
                <c:pt idx="179">
                  <c:v>1.38498632267573</c:v>
                </c:pt>
                <c:pt idx="180">
                  <c:v>1.383486501702291</c:v>
                </c:pt>
                <c:pt idx="181">
                  <c:v>1.3952936798445856</c:v>
                </c:pt>
                <c:pt idx="182">
                  <c:v>1.3959292443841982</c:v>
                </c:pt>
                <c:pt idx="183">
                  <c:v>1.3927671941957718</c:v>
                </c:pt>
                <c:pt idx="184">
                  <c:v>1.3728421024964825</c:v>
                </c:pt>
                <c:pt idx="185">
                  <c:v>1.363123769600465</c:v>
                </c:pt>
                <c:pt idx="186">
                  <c:v>1.3673367652744244</c:v>
                </c:pt>
                <c:pt idx="187">
                  <c:v>1.3876021061165527</c:v>
                </c:pt>
                <c:pt idx="188">
                  <c:v>1.4146769684642204</c:v>
                </c:pt>
                <c:pt idx="189">
                  <c:v>1.4188380696696945</c:v>
                </c:pt>
                <c:pt idx="190">
                  <c:v>1.4271168084586254</c:v>
                </c:pt>
                <c:pt idx="191">
                  <c:v>1.4190732300275295</c:v>
                </c:pt>
                <c:pt idx="192">
                  <c:v>1.4384491283011236</c:v>
                </c:pt>
                <c:pt idx="193">
                  <c:v>1.4527406304998431</c:v>
                </c:pt>
                <c:pt idx="194">
                  <c:v>1.4503541936298783</c:v>
                </c:pt>
                <c:pt idx="195">
                  <c:v>1.4528664561896714</c:v>
                </c:pt>
                <c:pt idx="196">
                  <c:v>1.4462844414728222</c:v>
                </c:pt>
                <c:pt idx="197">
                  <c:v>1.4502460654718279</c:v>
                </c:pt>
                <c:pt idx="198">
                  <c:v>1.4575148989113664</c:v>
                </c:pt>
                <c:pt idx="199">
                  <c:v>1.4508674113491962</c:v>
                </c:pt>
                <c:pt idx="200">
                  <c:v>1.4465033456941814</c:v>
                </c:pt>
                <c:pt idx="201">
                  <c:v>1.4310992967764931</c:v>
                </c:pt>
                <c:pt idx="202">
                  <c:v>1.436590099255362</c:v>
                </c:pt>
                <c:pt idx="203">
                  <c:v>1.4339709312507101</c:v>
                </c:pt>
                <c:pt idx="204">
                  <c:v>1.4457329386232527</c:v>
                </c:pt>
                <c:pt idx="205">
                  <c:v>1.4430242716622934</c:v>
                </c:pt>
                <c:pt idx="206">
                  <c:v>1.4248275636689773</c:v>
                </c:pt>
                <c:pt idx="207">
                  <c:v>1.3901628964445161</c:v>
                </c:pt>
                <c:pt idx="208">
                  <c:v>1.3946417972372593</c:v>
                </c:pt>
                <c:pt idx="209">
                  <c:v>1.4082090066194175</c:v>
                </c:pt>
                <c:pt idx="210">
                  <c:v>1.4247462993225879</c:v>
                </c:pt>
                <c:pt idx="211">
                  <c:v>1.432417090286938</c:v>
                </c:pt>
                <c:pt idx="212">
                  <c:v>1.4301543820845977</c:v>
                </c:pt>
                <c:pt idx="213">
                  <c:v>1.3900020464691953</c:v>
                </c:pt>
                <c:pt idx="214">
                  <c:v>1.3860237306713827</c:v>
                </c:pt>
                <c:pt idx="215">
                  <c:v>1.3774729562405739</c:v>
                </c:pt>
                <c:pt idx="216">
                  <c:v>1.3945752679176815</c:v>
                </c:pt>
                <c:pt idx="217">
                  <c:v>1.3655400674641021</c:v>
                </c:pt>
                <c:pt idx="218">
                  <c:v>1.388598654841555</c:v>
                </c:pt>
                <c:pt idx="219">
                  <c:v>1.3997680979321696</c:v>
                </c:pt>
                <c:pt idx="220">
                  <c:v>1.4126312161232744</c:v>
                </c:pt>
                <c:pt idx="221">
                  <c:v>1.410920164149317</c:v>
                </c:pt>
                <c:pt idx="222">
                  <c:v>1.4007442332998268</c:v>
                </c:pt>
                <c:pt idx="223">
                  <c:v>1.3935740302995157</c:v>
                </c:pt>
                <c:pt idx="224">
                  <c:v>1.3977729527711453</c:v>
                </c:pt>
                <c:pt idx="225">
                  <c:v>1.42492765202032</c:v>
                </c:pt>
                <c:pt idx="226">
                  <c:v>1.4391025968928008</c:v>
                </c:pt>
                <c:pt idx="227">
                  <c:v>1.4577971179360643</c:v>
                </c:pt>
                <c:pt idx="228">
                  <c:v>1.4654187917963131</c:v>
                </c:pt>
                <c:pt idx="229">
                  <c:v>1.4635878863741467</c:v>
                </c:pt>
                <c:pt idx="230">
                  <c:v>1.4757555174444932</c:v>
                </c:pt>
                <c:pt idx="231">
                  <c:v>1.4615241508968935</c:v>
                </c:pt>
                <c:pt idx="232">
                  <c:v>1.4886318815510757</c:v>
                </c:pt>
                <c:pt idx="233">
                  <c:v>1.5015803273851893</c:v>
                </c:pt>
                <c:pt idx="234">
                  <c:v>1.5197251335280932</c:v>
                </c:pt>
                <c:pt idx="235">
                  <c:v>1.5410637179058457</c:v>
                </c:pt>
                <c:pt idx="236">
                  <c:v>1.5579552627052606</c:v>
                </c:pt>
                <c:pt idx="237">
                  <c:v>1.5672705857430957</c:v>
                </c:pt>
                <c:pt idx="238">
                  <c:v>1.5719881255263559</c:v>
                </c:pt>
                <c:pt idx="239">
                  <c:v>1.5901391765927519</c:v>
                </c:pt>
                <c:pt idx="240">
                  <c:v>1.624836825963587</c:v>
                </c:pt>
                <c:pt idx="241">
                  <c:v>1.6276413490155566</c:v>
                </c:pt>
                <c:pt idx="242">
                  <c:v>1.623074498914431</c:v>
                </c:pt>
                <c:pt idx="243">
                  <c:v>1.5924277321873612</c:v>
                </c:pt>
                <c:pt idx="244">
                  <c:v>1.5744047045675582</c:v>
                </c:pt>
                <c:pt idx="245">
                  <c:v>1.5807744039407761</c:v>
                </c:pt>
                <c:pt idx="246">
                  <c:v>1.59167251515298</c:v>
                </c:pt>
                <c:pt idx="247">
                  <c:v>1.5862170030169993</c:v>
                </c:pt>
                <c:pt idx="248">
                  <c:v>1.5939864876948557</c:v>
                </c:pt>
                <c:pt idx="249">
                  <c:v>1.5940888731782672</c:v>
                </c:pt>
                <c:pt idx="250">
                  <c:v>1.6250787685134462</c:v>
                </c:pt>
                <c:pt idx="251">
                  <c:v>1.6443026140470736</c:v>
                </c:pt>
              </c:numCache>
            </c:numRef>
          </c:val>
          <c:smooth val="0"/>
        </c:ser>
        <c:ser>
          <c:idx val="1"/>
          <c:order val="1"/>
          <c:tx>
            <c:v>Risk Parity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PCA!$BA$5:$BA$256</c:f>
              <c:numCache>
                <c:formatCode>General</c:formatCode>
                <c:ptCount val="2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</c:numCache>
            </c:numRef>
          </c:cat>
          <c:val>
            <c:numRef>
              <c:f>PCA!$BC$5:$BC$256</c:f>
              <c:numCache>
                <c:formatCode>General</c:formatCode>
                <c:ptCount val="252"/>
                <c:pt idx="0">
                  <c:v>0.99999999999999989</c:v>
                </c:pt>
                <c:pt idx="1">
                  <c:v>1.0037414137207359</c:v>
                </c:pt>
                <c:pt idx="2">
                  <c:v>1.0253057926296891</c:v>
                </c:pt>
                <c:pt idx="3">
                  <c:v>1.0291610074758519</c:v>
                </c:pt>
                <c:pt idx="4">
                  <c:v>1.0334146876311774</c:v>
                </c:pt>
                <c:pt idx="5">
                  <c:v>1.0235460366383782</c:v>
                </c:pt>
                <c:pt idx="6">
                  <c:v>1.0412144590689281</c:v>
                </c:pt>
                <c:pt idx="7">
                  <c:v>1.0463769270250103</c:v>
                </c:pt>
                <c:pt idx="8">
                  <c:v>1.0442152563509528</c:v>
                </c:pt>
                <c:pt idx="9">
                  <c:v>1.0449907908988119</c:v>
                </c:pt>
                <c:pt idx="10">
                  <c:v>1.0491522094932981</c:v>
                </c:pt>
                <c:pt idx="11">
                  <c:v>1.0491601935687416</c:v>
                </c:pt>
                <c:pt idx="12">
                  <c:v>1.0287674813271499</c:v>
                </c:pt>
                <c:pt idx="13">
                  <c:v>1.0291357116461497</c:v>
                </c:pt>
                <c:pt idx="14">
                  <c:v>1.0274767901242901</c:v>
                </c:pt>
                <c:pt idx="15">
                  <c:v>1.0267062254934014</c:v>
                </c:pt>
                <c:pt idx="16">
                  <c:v>1.036177020060046</c:v>
                </c:pt>
                <c:pt idx="17">
                  <c:v>1.0382377459824768</c:v>
                </c:pt>
                <c:pt idx="18">
                  <c:v>1.0411364358268396</c:v>
                </c:pt>
                <c:pt idx="19">
                  <c:v>1.0383048213910666</c:v>
                </c:pt>
                <c:pt idx="20">
                  <c:v>1.0425342296155498</c:v>
                </c:pt>
                <c:pt idx="21">
                  <c:v>1.0386654074034229</c:v>
                </c:pt>
                <c:pt idx="22">
                  <c:v>1.0410954224453042</c:v>
                </c:pt>
                <c:pt idx="23">
                  <c:v>1.0455518283972645</c:v>
                </c:pt>
                <c:pt idx="24">
                  <c:v>1.0640565965156095</c:v>
                </c:pt>
                <c:pt idx="25">
                  <c:v>1.0621652221807316</c:v>
                </c:pt>
                <c:pt idx="26">
                  <c:v>1.0585212670350952</c:v>
                </c:pt>
                <c:pt idx="27">
                  <c:v>1.0631077884185882</c:v>
                </c:pt>
                <c:pt idx="28">
                  <c:v>1.0497320911298027</c:v>
                </c:pt>
                <c:pt idx="29">
                  <c:v>1.0562846945741469</c:v>
                </c:pt>
                <c:pt idx="30">
                  <c:v>1.0488849190890968</c:v>
                </c:pt>
                <c:pt idx="31">
                  <c:v>1.0797533690002294</c:v>
                </c:pt>
                <c:pt idx="32">
                  <c:v>1.090909186326126</c:v>
                </c:pt>
                <c:pt idx="33">
                  <c:v>1.0733617730214897</c:v>
                </c:pt>
                <c:pt idx="34">
                  <c:v>1.0724653258361465</c:v>
                </c:pt>
                <c:pt idx="35">
                  <c:v>1.0796440231003059</c:v>
                </c:pt>
                <c:pt idx="36">
                  <c:v>1.0698068418961071</c:v>
                </c:pt>
                <c:pt idx="37">
                  <c:v>1.0618211530760282</c:v>
                </c:pt>
                <c:pt idx="38">
                  <c:v>1.0775684044935323</c:v>
                </c:pt>
                <c:pt idx="39">
                  <c:v>1.1042163800151097</c:v>
                </c:pt>
                <c:pt idx="40">
                  <c:v>1.1125715782839258</c:v>
                </c:pt>
                <c:pt idx="41">
                  <c:v>1.113624743466274</c:v>
                </c:pt>
                <c:pt idx="42">
                  <c:v>1.1213999489836635</c:v>
                </c:pt>
                <c:pt idx="43">
                  <c:v>1.1251156233876956</c:v>
                </c:pt>
                <c:pt idx="44">
                  <c:v>1.0969505809332389</c:v>
                </c:pt>
                <c:pt idx="45">
                  <c:v>1.1010302135103331</c:v>
                </c:pt>
                <c:pt idx="46">
                  <c:v>1.0785355755930537</c:v>
                </c:pt>
                <c:pt idx="47">
                  <c:v>1.1058172184742516</c:v>
                </c:pt>
                <c:pt idx="48">
                  <c:v>1.122933248997668</c:v>
                </c:pt>
                <c:pt idx="49">
                  <c:v>1.1386985690062854</c:v>
                </c:pt>
                <c:pt idx="50">
                  <c:v>1.1462657572494124</c:v>
                </c:pt>
                <c:pt idx="51">
                  <c:v>1.1506390385972771</c:v>
                </c:pt>
                <c:pt idx="52">
                  <c:v>1.1576071888312827</c:v>
                </c:pt>
                <c:pt idx="53">
                  <c:v>1.1559827977483046</c:v>
                </c:pt>
                <c:pt idx="54">
                  <c:v>1.1547605292204028</c:v>
                </c:pt>
                <c:pt idx="55">
                  <c:v>1.1567875740080309</c:v>
                </c:pt>
                <c:pt idx="56">
                  <c:v>1.161669369233117</c:v>
                </c:pt>
                <c:pt idx="57">
                  <c:v>1.1671611128060073</c:v>
                </c:pt>
                <c:pt idx="58">
                  <c:v>1.1664982383183014</c:v>
                </c:pt>
                <c:pt idx="59">
                  <c:v>1.1610789035590092</c:v>
                </c:pt>
                <c:pt idx="60">
                  <c:v>1.1535739809290484</c:v>
                </c:pt>
                <c:pt idx="61">
                  <c:v>1.1344615476056212</c:v>
                </c:pt>
                <c:pt idx="62">
                  <c:v>1.1356923084059758</c:v>
                </c:pt>
                <c:pt idx="63">
                  <c:v>1.1475532627665033</c:v>
                </c:pt>
                <c:pt idx="64">
                  <c:v>1.1098209300975816</c:v>
                </c:pt>
                <c:pt idx="65">
                  <c:v>1.1098848692857013</c:v>
                </c:pt>
                <c:pt idx="66">
                  <c:v>1.1417330664842398</c:v>
                </c:pt>
                <c:pt idx="67">
                  <c:v>1.1280358103966854</c:v>
                </c:pt>
                <c:pt idx="68">
                  <c:v>1.1102235351520098</c:v>
                </c:pt>
                <c:pt idx="69">
                  <c:v>1.0989924058877887</c:v>
                </c:pt>
                <c:pt idx="70">
                  <c:v>1.1173219412011153</c:v>
                </c:pt>
                <c:pt idx="71">
                  <c:v>1.0936993618900801</c:v>
                </c:pt>
                <c:pt idx="72">
                  <c:v>1.1264701769612464</c:v>
                </c:pt>
                <c:pt idx="73">
                  <c:v>1.1302802325431038</c:v>
                </c:pt>
                <c:pt idx="74">
                  <c:v>1.1491448075461592</c:v>
                </c:pt>
                <c:pt idx="75">
                  <c:v>1.1387951103194747</c:v>
                </c:pt>
                <c:pt idx="76">
                  <c:v>1.140868451452969</c:v>
                </c:pt>
                <c:pt idx="77">
                  <c:v>1.142866282763362</c:v>
                </c:pt>
                <c:pt idx="78">
                  <c:v>1.1489808188695412</c:v>
                </c:pt>
                <c:pt idx="79">
                  <c:v>1.1250217228969341</c:v>
                </c:pt>
                <c:pt idx="80">
                  <c:v>1.1275051594180669</c:v>
                </c:pt>
                <c:pt idx="81">
                  <c:v>1.1343148350034913</c:v>
                </c:pt>
                <c:pt idx="82">
                  <c:v>1.1317906981938173</c:v>
                </c:pt>
                <c:pt idx="83">
                  <c:v>1.1203219045819965</c:v>
                </c:pt>
                <c:pt idx="84">
                  <c:v>1.1195515323890619</c:v>
                </c:pt>
                <c:pt idx="85">
                  <c:v>1.1293400881812397</c:v>
                </c:pt>
                <c:pt idx="86">
                  <c:v>1.1334460529949733</c:v>
                </c:pt>
                <c:pt idx="87">
                  <c:v>1.131819319859503</c:v>
                </c:pt>
                <c:pt idx="88">
                  <c:v>1.1421010650573951</c:v>
                </c:pt>
                <c:pt idx="89">
                  <c:v>1.1634096388776016</c:v>
                </c:pt>
                <c:pt idx="90">
                  <c:v>1.1933564264271999</c:v>
                </c:pt>
                <c:pt idx="91">
                  <c:v>1.1900374269154659</c:v>
                </c:pt>
                <c:pt idx="92">
                  <c:v>1.2021233932947795</c:v>
                </c:pt>
                <c:pt idx="93">
                  <c:v>1.2105163713400668</c:v>
                </c:pt>
                <c:pt idx="94">
                  <c:v>1.2216657274115019</c:v>
                </c:pt>
                <c:pt idx="95">
                  <c:v>1.2238326450158721</c:v>
                </c:pt>
                <c:pt idx="96">
                  <c:v>1.2347442975960736</c:v>
                </c:pt>
                <c:pt idx="97">
                  <c:v>1.2179600573250093</c:v>
                </c:pt>
                <c:pt idx="98">
                  <c:v>1.2372541779393256</c:v>
                </c:pt>
                <c:pt idx="99">
                  <c:v>1.2400843932696806</c:v>
                </c:pt>
                <c:pt idx="100">
                  <c:v>1.2312008440336211</c:v>
                </c:pt>
                <c:pt idx="101">
                  <c:v>1.2216402996132618</c:v>
                </c:pt>
                <c:pt idx="102">
                  <c:v>1.2313607737017849</c:v>
                </c:pt>
                <c:pt idx="103">
                  <c:v>1.2119705658361963</c:v>
                </c:pt>
                <c:pt idx="104">
                  <c:v>1.231890340133883</c:v>
                </c:pt>
                <c:pt idx="105">
                  <c:v>1.2379598794958502</c:v>
                </c:pt>
                <c:pt idx="106">
                  <c:v>1.2352629015990511</c:v>
                </c:pt>
                <c:pt idx="107">
                  <c:v>1.2401718168454132</c:v>
                </c:pt>
                <c:pt idx="108">
                  <c:v>1.2563430722024271</c:v>
                </c:pt>
                <c:pt idx="109">
                  <c:v>1.247625266189708</c:v>
                </c:pt>
                <c:pt idx="110">
                  <c:v>1.2429117814378108</c:v>
                </c:pt>
                <c:pt idx="111">
                  <c:v>1.2277267116893218</c:v>
                </c:pt>
                <c:pt idx="112">
                  <c:v>1.2294233884394155</c:v>
                </c:pt>
                <c:pt idx="113">
                  <c:v>1.2461026187513264</c:v>
                </c:pt>
                <c:pt idx="114">
                  <c:v>1.25299081923428</c:v>
                </c:pt>
                <c:pt idx="115">
                  <c:v>1.2270261635661852</c:v>
                </c:pt>
                <c:pt idx="116">
                  <c:v>1.215297841017164</c:v>
                </c:pt>
                <c:pt idx="117">
                  <c:v>1.1883096387704404</c:v>
                </c:pt>
                <c:pt idx="118">
                  <c:v>1.2015902851134648</c:v>
                </c:pt>
                <c:pt idx="119">
                  <c:v>1.2278586920047716</c:v>
                </c:pt>
                <c:pt idx="120">
                  <c:v>1.2255413734498717</c:v>
                </c:pt>
                <c:pt idx="121">
                  <c:v>1.2133797603955199</c:v>
                </c:pt>
                <c:pt idx="122">
                  <c:v>1.2122881566811678</c:v>
                </c:pt>
                <c:pt idx="123">
                  <c:v>1.228320181005478</c:v>
                </c:pt>
                <c:pt idx="124">
                  <c:v>1.2260583269166792</c:v>
                </c:pt>
                <c:pt idx="125">
                  <c:v>1.2500401120874371</c:v>
                </c:pt>
                <c:pt idx="126">
                  <c:v>1.2486569122612812</c:v>
                </c:pt>
                <c:pt idx="127">
                  <c:v>1.252793211140484</c:v>
                </c:pt>
                <c:pt idx="128">
                  <c:v>1.2517058877625968</c:v>
                </c:pt>
                <c:pt idx="129">
                  <c:v>1.2530407483730683</c:v>
                </c:pt>
                <c:pt idx="130">
                  <c:v>1.2559904320270068</c:v>
                </c:pt>
                <c:pt idx="131">
                  <c:v>1.25676095410249</c:v>
                </c:pt>
                <c:pt idx="132">
                  <c:v>1.2490818261799459</c:v>
                </c:pt>
                <c:pt idx="133">
                  <c:v>1.267520932442683</c:v>
                </c:pt>
                <c:pt idx="134">
                  <c:v>1.2701607048877515</c:v>
                </c:pt>
                <c:pt idx="135">
                  <c:v>1.2704642335293019</c:v>
                </c:pt>
                <c:pt idx="136">
                  <c:v>1.2686047737768626</c:v>
                </c:pt>
                <c:pt idx="137">
                  <c:v>1.2725076032346923</c:v>
                </c:pt>
                <c:pt idx="138">
                  <c:v>1.2758082292506336</c:v>
                </c:pt>
                <c:pt idx="139">
                  <c:v>1.2810423944423217</c:v>
                </c:pt>
                <c:pt idx="140">
                  <c:v>1.2729973635439438</c:v>
                </c:pt>
                <c:pt idx="141">
                  <c:v>1.272024537512658</c:v>
                </c:pt>
                <c:pt idx="142">
                  <c:v>1.2789745951675919</c:v>
                </c:pt>
                <c:pt idx="143">
                  <c:v>1.265209815231618</c:v>
                </c:pt>
                <c:pt idx="144">
                  <c:v>1.2749604084881909</c:v>
                </c:pt>
                <c:pt idx="145">
                  <c:v>1.2852356125601054</c:v>
                </c:pt>
                <c:pt idx="146">
                  <c:v>1.2874587556839716</c:v>
                </c:pt>
                <c:pt idx="147">
                  <c:v>1.293275200153688</c:v>
                </c:pt>
                <c:pt idx="148">
                  <c:v>1.2916181366291588</c:v>
                </c:pt>
                <c:pt idx="149">
                  <c:v>1.3059062248750382</c:v>
                </c:pt>
                <c:pt idx="150">
                  <c:v>1.3054519578659944</c:v>
                </c:pt>
                <c:pt idx="151">
                  <c:v>1.3054374152868387</c:v>
                </c:pt>
                <c:pt idx="152">
                  <c:v>1.3136394053164955</c:v>
                </c:pt>
                <c:pt idx="153">
                  <c:v>1.3288036758169133</c:v>
                </c:pt>
                <c:pt idx="154">
                  <c:v>1.3331009775366427</c:v>
                </c:pt>
                <c:pt idx="155">
                  <c:v>1.3359517642000007</c:v>
                </c:pt>
                <c:pt idx="156">
                  <c:v>1.3224164386989792</c:v>
                </c:pt>
                <c:pt idx="157">
                  <c:v>1.3369243791598064</c:v>
                </c:pt>
                <c:pt idx="158">
                  <c:v>1.3465171476866924</c:v>
                </c:pt>
                <c:pt idx="159">
                  <c:v>1.3431204399379064</c:v>
                </c:pt>
                <c:pt idx="160">
                  <c:v>1.3436331366290339</c:v>
                </c:pt>
                <c:pt idx="161">
                  <c:v>1.3341164544567077</c:v>
                </c:pt>
                <c:pt idx="162">
                  <c:v>1.3207481333435649</c:v>
                </c:pt>
                <c:pt idx="163">
                  <c:v>1.3014735104239388</c:v>
                </c:pt>
                <c:pt idx="164">
                  <c:v>1.3187031686122583</c:v>
                </c:pt>
                <c:pt idx="165">
                  <c:v>1.3330614853853957</c:v>
                </c:pt>
                <c:pt idx="166">
                  <c:v>1.3390901511138469</c:v>
                </c:pt>
                <c:pt idx="167">
                  <c:v>1.3596248042455397</c:v>
                </c:pt>
                <c:pt idx="168">
                  <c:v>1.3666317927812424</c:v>
                </c:pt>
                <c:pt idx="169">
                  <c:v>1.3530491064304009</c:v>
                </c:pt>
                <c:pt idx="170">
                  <c:v>1.3575536452672616</c:v>
                </c:pt>
                <c:pt idx="171">
                  <c:v>1.3583495157273944</c:v>
                </c:pt>
                <c:pt idx="172">
                  <c:v>1.342930249001884</c:v>
                </c:pt>
                <c:pt idx="173">
                  <c:v>1.3449299726862796</c:v>
                </c:pt>
                <c:pt idx="174">
                  <c:v>1.3546981492168215</c:v>
                </c:pt>
                <c:pt idx="175">
                  <c:v>1.3535493587736696</c:v>
                </c:pt>
                <c:pt idx="176">
                  <c:v>1.3647985757697032</c:v>
                </c:pt>
                <c:pt idx="177">
                  <c:v>1.3683867391798887</c:v>
                </c:pt>
                <c:pt idx="178">
                  <c:v>1.371535582921787</c:v>
                </c:pt>
                <c:pt idx="179">
                  <c:v>1.3702848680617143</c:v>
                </c:pt>
                <c:pt idx="180">
                  <c:v>1.3706489931438968</c:v>
                </c:pt>
                <c:pt idx="181">
                  <c:v>1.380196535337554</c:v>
                </c:pt>
                <c:pt idx="182">
                  <c:v>1.38002283395454</c:v>
                </c:pt>
                <c:pt idx="183">
                  <c:v>1.3814536769156838</c:v>
                </c:pt>
                <c:pt idx="184">
                  <c:v>1.3650931530989241</c:v>
                </c:pt>
                <c:pt idx="185">
                  <c:v>1.3529754414875113</c:v>
                </c:pt>
                <c:pt idx="186">
                  <c:v>1.3568893337899262</c:v>
                </c:pt>
                <c:pt idx="187">
                  <c:v>1.374181007370187</c:v>
                </c:pt>
                <c:pt idx="188">
                  <c:v>1.3952910259363303</c:v>
                </c:pt>
                <c:pt idx="189">
                  <c:v>1.3997319316535366</c:v>
                </c:pt>
                <c:pt idx="190">
                  <c:v>1.4069833852518761</c:v>
                </c:pt>
                <c:pt idx="191">
                  <c:v>1.3998608177187353</c:v>
                </c:pt>
                <c:pt idx="192">
                  <c:v>1.4167008537890939</c:v>
                </c:pt>
                <c:pt idx="193">
                  <c:v>1.4282430829505077</c:v>
                </c:pt>
                <c:pt idx="194">
                  <c:v>1.4261410406440911</c:v>
                </c:pt>
                <c:pt idx="195">
                  <c:v>1.4283890264978618</c:v>
                </c:pt>
                <c:pt idx="196">
                  <c:v>1.4222410459551396</c:v>
                </c:pt>
                <c:pt idx="197">
                  <c:v>1.4237284554462726</c:v>
                </c:pt>
                <c:pt idx="198">
                  <c:v>1.4281145776400217</c:v>
                </c:pt>
                <c:pt idx="199">
                  <c:v>1.4226180630182874</c:v>
                </c:pt>
                <c:pt idx="200">
                  <c:v>1.4181080365351701</c:v>
                </c:pt>
                <c:pt idx="201">
                  <c:v>1.4029860180138676</c:v>
                </c:pt>
                <c:pt idx="202">
                  <c:v>1.4100068887722259</c:v>
                </c:pt>
                <c:pt idx="203">
                  <c:v>1.4062259206990351</c:v>
                </c:pt>
                <c:pt idx="204">
                  <c:v>1.4177032843583919</c:v>
                </c:pt>
                <c:pt idx="205">
                  <c:v>1.4149924242554246</c:v>
                </c:pt>
                <c:pt idx="206">
                  <c:v>1.3968690976546905</c:v>
                </c:pt>
                <c:pt idx="207">
                  <c:v>1.366249749587954</c:v>
                </c:pt>
                <c:pt idx="208">
                  <c:v>1.3689940174582529</c:v>
                </c:pt>
                <c:pt idx="209">
                  <c:v>1.3809298883289489</c:v>
                </c:pt>
                <c:pt idx="210">
                  <c:v>1.3974020821790898</c:v>
                </c:pt>
                <c:pt idx="211">
                  <c:v>1.4037500030810415</c:v>
                </c:pt>
                <c:pt idx="212">
                  <c:v>1.4010405234042076</c:v>
                </c:pt>
                <c:pt idx="213">
                  <c:v>1.3633606753868117</c:v>
                </c:pt>
                <c:pt idx="214">
                  <c:v>1.3595624320570261</c:v>
                </c:pt>
                <c:pt idx="215">
                  <c:v>1.3492807734610437</c:v>
                </c:pt>
                <c:pt idx="216">
                  <c:v>1.3683763269326554</c:v>
                </c:pt>
                <c:pt idx="217">
                  <c:v>1.3409938174199227</c:v>
                </c:pt>
                <c:pt idx="218">
                  <c:v>1.3640304175636428</c:v>
                </c:pt>
                <c:pt idx="219">
                  <c:v>1.3754673065849743</c:v>
                </c:pt>
                <c:pt idx="220">
                  <c:v>1.3874881198311064</c:v>
                </c:pt>
                <c:pt idx="221">
                  <c:v>1.3878028247721172</c:v>
                </c:pt>
                <c:pt idx="222">
                  <c:v>1.3760621762614642</c:v>
                </c:pt>
                <c:pt idx="223">
                  <c:v>1.3663611867472376</c:v>
                </c:pt>
                <c:pt idx="224">
                  <c:v>1.3689986602049762</c:v>
                </c:pt>
                <c:pt idx="225">
                  <c:v>1.3950496477206542</c:v>
                </c:pt>
                <c:pt idx="226">
                  <c:v>1.4076223419141025</c:v>
                </c:pt>
                <c:pt idx="227">
                  <c:v>1.4216257899820439</c:v>
                </c:pt>
                <c:pt idx="228">
                  <c:v>1.4304351437828626</c:v>
                </c:pt>
                <c:pt idx="229">
                  <c:v>1.4296719429231635</c:v>
                </c:pt>
                <c:pt idx="230">
                  <c:v>1.4369160550334592</c:v>
                </c:pt>
                <c:pt idx="231">
                  <c:v>1.4219925084193625</c:v>
                </c:pt>
                <c:pt idx="232">
                  <c:v>1.4346248458265494</c:v>
                </c:pt>
                <c:pt idx="233">
                  <c:v>1.4449211781104647</c:v>
                </c:pt>
                <c:pt idx="234">
                  <c:v>1.4628076995079302</c:v>
                </c:pt>
                <c:pt idx="235">
                  <c:v>1.4789003089621751</c:v>
                </c:pt>
                <c:pt idx="236">
                  <c:v>1.4895625427985004</c:v>
                </c:pt>
                <c:pt idx="237">
                  <c:v>1.4861018093621441</c:v>
                </c:pt>
                <c:pt idx="238">
                  <c:v>1.4944754148590353</c:v>
                </c:pt>
                <c:pt idx="239">
                  <c:v>1.5075883188556705</c:v>
                </c:pt>
                <c:pt idx="240">
                  <c:v>1.5306100197122599</c:v>
                </c:pt>
                <c:pt idx="241">
                  <c:v>1.5342319872147245</c:v>
                </c:pt>
                <c:pt idx="242">
                  <c:v>1.5337717880601616</c:v>
                </c:pt>
                <c:pt idx="243">
                  <c:v>1.5186106229418832</c:v>
                </c:pt>
                <c:pt idx="244">
                  <c:v>1.4983927694748189</c:v>
                </c:pt>
                <c:pt idx="245">
                  <c:v>1.5024396363132924</c:v>
                </c:pt>
                <c:pt idx="246">
                  <c:v>1.5171132717219711</c:v>
                </c:pt>
                <c:pt idx="247">
                  <c:v>1.51417488345827</c:v>
                </c:pt>
                <c:pt idx="248">
                  <c:v>1.5168284737135111</c:v>
                </c:pt>
                <c:pt idx="249">
                  <c:v>1.5154311511472767</c:v>
                </c:pt>
                <c:pt idx="250">
                  <c:v>1.5384874509495239</c:v>
                </c:pt>
                <c:pt idx="251">
                  <c:v>1.5484774512992987</c:v>
                </c:pt>
              </c:numCache>
            </c:numRef>
          </c:val>
          <c:smooth val="0"/>
        </c:ser>
        <c:ser>
          <c:idx val="2"/>
          <c:order val="2"/>
          <c:tx>
            <c:v>Equal Weight Portfolio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PCA!$BA$5:$BA$256</c:f>
              <c:numCache>
                <c:formatCode>General</c:formatCode>
                <c:ptCount val="2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</c:numCache>
            </c:numRef>
          </c:cat>
          <c:val>
            <c:numRef>
              <c:f>PCA!$BD$5:$BD$256</c:f>
              <c:numCache>
                <c:formatCode>General</c:formatCode>
                <c:ptCount val="252"/>
                <c:pt idx="0">
                  <c:v>1.1177729977880595</c:v>
                </c:pt>
                <c:pt idx="1">
                  <c:v>1.1292725803499204</c:v>
                </c:pt>
                <c:pt idx="2">
                  <c:v>1.1508332500181775</c:v>
                </c:pt>
                <c:pt idx="3">
                  <c:v>1.1593361958118145</c:v>
                </c:pt>
                <c:pt idx="4">
                  <c:v>1.1589550674933466</c:v>
                </c:pt>
                <c:pt idx="5">
                  <c:v>1.1519592720480147</c:v>
                </c:pt>
                <c:pt idx="6">
                  <c:v>1.1657808342557601</c:v>
                </c:pt>
                <c:pt idx="7">
                  <c:v>1.169429071271374</c:v>
                </c:pt>
                <c:pt idx="8">
                  <c:v>1.1693706755181994</c:v>
                </c:pt>
                <c:pt idx="9">
                  <c:v>1.1740295962376981</c:v>
                </c:pt>
                <c:pt idx="10">
                  <c:v>1.1812131486825901</c:v>
                </c:pt>
                <c:pt idx="11">
                  <c:v>1.1798173700699337</c:v>
                </c:pt>
                <c:pt idx="12">
                  <c:v>1.1548645306322856</c:v>
                </c:pt>
                <c:pt idx="13">
                  <c:v>1.1599342732388411</c:v>
                </c:pt>
                <c:pt idx="14">
                  <c:v>1.1552659540372046</c:v>
                </c:pt>
                <c:pt idx="15">
                  <c:v>1.1609871591242076</c:v>
                </c:pt>
                <c:pt idx="16">
                  <c:v>1.1759969065606881</c:v>
                </c:pt>
                <c:pt idx="17">
                  <c:v>1.174970998768873</c:v>
                </c:pt>
                <c:pt idx="18">
                  <c:v>1.1859217012283585</c:v>
                </c:pt>
                <c:pt idx="19">
                  <c:v>1.1847946334563888</c:v>
                </c:pt>
                <c:pt idx="20">
                  <c:v>1.1912343817551467</c:v>
                </c:pt>
                <c:pt idx="21">
                  <c:v>1.1899683396089205</c:v>
                </c:pt>
                <c:pt idx="22">
                  <c:v>1.1922202227124203</c:v>
                </c:pt>
                <c:pt idx="23">
                  <c:v>1.1978713671439478</c:v>
                </c:pt>
                <c:pt idx="24">
                  <c:v>1.2106323964862511</c:v>
                </c:pt>
                <c:pt idx="25">
                  <c:v>1.21165132761481</c:v>
                </c:pt>
                <c:pt idx="26">
                  <c:v>1.2182501539444459</c:v>
                </c:pt>
                <c:pt idx="27">
                  <c:v>1.2216448770287616</c:v>
                </c:pt>
                <c:pt idx="28">
                  <c:v>1.212107102665462</c:v>
                </c:pt>
                <c:pt idx="29">
                  <c:v>1.2215088082335277</c:v>
                </c:pt>
                <c:pt idx="30">
                  <c:v>1.2157140694336581</c:v>
                </c:pt>
                <c:pt idx="31">
                  <c:v>1.2588220370085021</c:v>
                </c:pt>
                <c:pt idx="32">
                  <c:v>1.2728362205980404</c:v>
                </c:pt>
                <c:pt idx="33">
                  <c:v>1.2644835259777152</c:v>
                </c:pt>
                <c:pt idx="34">
                  <c:v>1.2731438253731784</c:v>
                </c:pt>
                <c:pt idx="35">
                  <c:v>1.281989631367455</c:v>
                </c:pt>
                <c:pt idx="36">
                  <c:v>1.2719209329040844</c:v>
                </c:pt>
                <c:pt idx="37">
                  <c:v>1.2514884723103876</c:v>
                </c:pt>
                <c:pt idx="38">
                  <c:v>1.2577654744725817</c:v>
                </c:pt>
                <c:pt idx="39">
                  <c:v>1.2710072280779088</c:v>
                </c:pt>
                <c:pt idx="40">
                  <c:v>1.2847219566139763</c:v>
                </c:pt>
                <c:pt idx="41">
                  <c:v>1.2813144187223642</c:v>
                </c:pt>
                <c:pt idx="42">
                  <c:v>1.2902677024624698</c:v>
                </c:pt>
                <c:pt idx="43">
                  <c:v>1.2857584299699139</c:v>
                </c:pt>
                <c:pt idx="44">
                  <c:v>1.260081379419179</c:v>
                </c:pt>
                <c:pt idx="45">
                  <c:v>1.260091210609477</c:v>
                </c:pt>
                <c:pt idx="46">
                  <c:v>1.234458319841125</c:v>
                </c:pt>
                <c:pt idx="47">
                  <c:v>1.2592557515056111</c:v>
                </c:pt>
                <c:pt idx="48">
                  <c:v>1.283825288692682</c:v>
                </c:pt>
                <c:pt idx="49">
                  <c:v>1.2742690922872775</c:v>
                </c:pt>
                <c:pt idx="50">
                  <c:v>1.291968891427564</c:v>
                </c:pt>
                <c:pt idx="51">
                  <c:v>1.2882152028683131</c:v>
                </c:pt>
                <c:pt idx="52">
                  <c:v>1.3119665802660156</c:v>
                </c:pt>
                <c:pt idx="53">
                  <c:v>1.3069160709671594</c:v>
                </c:pt>
                <c:pt idx="54">
                  <c:v>1.3052447012475052</c:v>
                </c:pt>
                <c:pt idx="55">
                  <c:v>1.3134153002278859</c:v>
                </c:pt>
                <c:pt idx="56">
                  <c:v>1.3172925376826927</c:v>
                </c:pt>
                <c:pt idx="57">
                  <c:v>1.3255442574119107</c:v>
                </c:pt>
                <c:pt idx="58">
                  <c:v>1.3173065481319988</c:v>
                </c:pt>
                <c:pt idx="59">
                  <c:v>1.3126001441962747</c:v>
                </c:pt>
                <c:pt idx="60">
                  <c:v>1.3136472932804262</c:v>
                </c:pt>
                <c:pt idx="61">
                  <c:v>1.2887280960172824</c:v>
                </c:pt>
                <c:pt idx="62">
                  <c:v>1.2845692912297419</c:v>
                </c:pt>
                <c:pt idx="63">
                  <c:v>1.3049547206730845</c:v>
                </c:pt>
                <c:pt idx="64">
                  <c:v>1.2538575765364603</c:v>
                </c:pt>
                <c:pt idx="65">
                  <c:v>1.2504050714938293</c:v>
                </c:pt>
                <c:pt idx="66">
                  <c:v>1.2891089452601392</c:v>
                </c:pt>
                <c:pt idx="67">
                  <c:v>1.2678596859070033</c:v>
                </c:pt>
                <c:pt idx="68">
                  <c:v>1.252028941820083</c:v>
                </c:pt>
                <c:pt idx="69">
                  <c:v>1.2209089005356848</c:v>
                </c:pt>
                <c:pt idx="70">
                  <c:v>1.2297883833049219</c:v>
                </c:pt>
                <c:pt idx="71">
                  <c:v>1.2109580289892401</c:v>
                </c:pt>
                <c:pt idx="72">
                  <c:v>1.2587873972630377</c:v>
                </c:pt>
                <c:pt idx="73">
                  <c:v>1.2673498412018744</c:v>
                </c:pt>
                <c:pt idx="74">
                  <c:v>1.2805954130947608</c:v>
                </c:pt>
                <c:pt idx="75">
                  <c:v>1.2797539054024882</c:v>
                </c:pt>
                <c:pt idx="76">
                  <c:v>1.2835214410605107</c:v>
                </c:pt>
                <c:pt idx="77">
                  <c:v>1.2745328804703613</c:v>
                </c:pt>
                <c:pt idx="78">
                  <c:v>1.2837780342861942</c:v>
                </c:pt>
                <c:pt idx="79">
                  <c:v>1.2598486601950165</c:v>
                </c:pt>
                <c:pt idx="80">
                  <c:v>1.2552265478623625</c:v>
                </c:pt>
                <c:pt idx="81">
                  <c:v>1.2632565153680053</c:v>
                </c:pt>
                <c:pt idx="82">
                  <c:v>1.2541085051437593</c:v>
                </c:pt>
                <c:pt idx="83">
                  <c:v>1.2390955472525709</c:v>
                </c:pt>
                <c:pt idx="84">
                  <c:v>1.2424920957885517</c:v>
                </c:pt>
                <c:pt idx="85">
                  <c:v>1.2595906450561816</c:v>
                </c:pt>
                <c:pt idx="86">
                  <c:v>1.2568422360400728</c:v>
                </c:pt>
                <c:pt idx="87">
                  <c:v>1.2585117217611896</c:v>
                </c:pt>
                <c:pt idx="88">
                  <c:v>1.2702899596129729</c:v>
                </c:pt>
                <c:pt idx="89">
                  <c:v>1.2868503321877904</c:v>
                </c:pt>
                <c:pt idx="90">
                  <c:v>1.3071988707035227</c:v>
                </c:pt>
                <c:pt idx="91">
                  <c:v>1.3035173496935839</c:v>
                </c:pt>
                <c:pt idx="92">
                  <c:v>1.3144635067063788</c:v>
                </c:pt>
                <c:pt idx="93">
                  <c:v>1.3253934906044234</c:v>
                </c:pt>
                <c:pt idx="94">
                  <c:v>1.3380953315903326</c:v>
                </c:pt>
                <c:pt idx="95">
                  <c:v>1.3574735782808163</c:v>
                </c:pt>
                <c:pt idx="96">
                  <c:v>1.3779911839606676</c:v>
                </c:pt>
                <c:pt idx="97">
                  <c:v>1.3533922748389919</c:v>
                </c:pt>
                <c:pt idx="98">
                  <c:v>1.3786347064454652</c:v>
                </c:pt>
                <c:pt idx="99">
                  <c:v>1.3816438963300981</c:v>
                </c:pt>
                <c:pt idx="100">
                  <c:v>1.362942311616105</c:v>
                </c:pt>
                <c:pt idx="101">
                  <c:v>1.3464925537812829</c:v>
                </c:pt>
                <c:pt idx="102">
                  <c:v>1.3648652682021121</c:v>
                </c:pt>
                <c:pt idx="103">
                  <c:v>1.3371858370068261</c:v>
                </c:pt>
                <c:pt idx="104">
                  <c:v>1.3591870406528104</c:v>
                </c:pt>
                <c:pt idx="105">
                  <c:v>1.3667601045186106</c:v>
                </c:pt>
                <c:pt idx="106">
                  <c:v>1.3647653682722458</c:v>
                </c:pt>
                <c:pt idx="107">
                  <c:v>1.3559655054475077</c:v>
                </c:pt>
                <c:pt idx="108">
                  <c:v>1.3618022799498459</c:v>
                </c:pt>
                <c:pt idx="109">
                  <c:v>1.3541785606987622</c:v>
                </c:pt>
                <c:pt idx="110">
                  <c:v>1.3499961984970634</c:v>
                </c:pt>
                <c:pt idx="111">
                  <c:v>1.3354410696477372</c:v>
                </c:pt>
                <c:pt idx="112">
                  <c:v>1.3423285958932787</c:v>
                </c:pt>
                <c:pt idx="113">
                  <c:v>1.3609993443673272</c:v>
                </c:pt>
                <c:pt idx="114">
                  <c:v>1.3712136127300236</c:v>
                </c:pt>
                <c:pt idx="115">
                  <c:v>1.3476683460256846</c:v>
                </c:pt>
                <c:pt idx="116">
                  <c:v>1.3333562489958588</c:v>
                </c:pt>
                <c:pt idx="117">
                  <c:v>1.30619976160065</c:v>
                </c:pt>
                <c:pt idx="118">
                  <c:v>1.3186736725425301</c:v>
                </c:pt>
                <c:pt idx="119">
                  <c:v>1.3471937778880518</c:v>
                </c:pt>
                <c:pt idx="120">
                  <c:v>1.3415932239686188</c:v>
                </c:pt>
                <c:pt idx="121">
                  <c:v>1.3291002863788077</c:v>
                </c:pt>
                <c:pt idx="122">
                  <c:v>1.3226066195748456</c:v>
                </c:pt>
                <c:pt idx="123">
                  <c:v>1.3402471873124546</c:v>
                </c:pt>
                <c:pt idx="124">
                  <c:v>1.3465036018850653</c:v>
                </c:pt>
                <c:pt idx="125">
                  <c:v>1.3692566974350915</c:v>
                </c:pt>
                <c:pt idx="126">
                  <c:v>1.3633423069878008</c:v>
                </c:pt>
                <c:pt idx="127">
                  <c:v>1.3660074581151054</c:v>
                </c:pt>
                <c:pt idx="128">
                  <c:v>1.3682628708893911</c:v>
                </c:pt>
                <c:pt idx="129">
                  <c:v>1.3795434356843936</c:v>
                </c:pt>
                <c:pt idx="130">
                  <c:v>1.3812899595508776</c:v>
                </c:pt>
                <c:pt idx="131">
                  <c:v>1.3894813236118124</c:v>
                </c:pt>
                <c:pt idx="132">
                  <c:v>1.3859591873048935</c:v>
                </c:pt>
                <c:pt idx="133">
                  <c:v>1.4066360742651378</c:v>
                </c:pt>
                <c:pt idx="134">
                  <c:v>1.4032111767147617</c:v>
                </c:pt>
                <c:pt idx="135">
                  <c:v>1.4015129319785553</c:v>
                </c:pt>
                <c:pt idx="136">
                  <c:v>1.3953189310418539</c:v>
                </c:pt>
                <c:pt idx="137">
                  <c:v>1.3898467844882902</c:v>
                </c:pt>
                <c:pt idx="138">
                  <c:v>1.4013834767065099</c:v>
                </c:pt>
                <c:pt idx="139">
                  <c:v>1.4025760846193311</c:v>
                </c:pt>
                <c:pt idx="140">
                  <c:v>1.3893447214526382</c:v>
                </c:pt>
                <c:pt idx="141">
                  <c:v>1.3944173379892699</c:v>
                </c:pt>
                <c:pt idx="142">
                  <c:v>1.4024704506212282</c:v>
                </c:pt>
                <c:pt idx="143">
                  <c:v>1.3884440714835673</c:v>
                </c:pt>
                <c:pt idx="144">
                  <c:v>1.3947386792106358</c:v>
                </c:pt>
                <c:pt idx="145">
                  <c:v>1.4076204021239993</c:v>
                </c:pt>
                <c:pt idx="146">
                  <c:v>1.4154208423792642</c:v>
                </c:pt>
                <c:pt idx="147">
                  <c:v>1.4234355120699407</c:v>
                </c:pt>
                <c:pt idx="148">
                  <c:v>1.4228693687114431</c:v>
                </c:pt>
                <c:pt idx="149">
                  <c:v>1.4463323491791995</c:v>
                </c:pt>
                <c:pt idx="150">
                  <c:v>1.4491633385519904</c:v>
                </c:pt>
                <c:pt idx="151">
                  <c:v>1.4546565992685292</c:v>
                </c:pt>
                <c:pt idx="152">
                  <c:v>1.4634417229262664</c:v>
                </c:pt>
                <c:pt idx="153">
                  <c:v>1.4740811724605645</c:v>
                </c:pt>
                <c:pt idx="154">
                  <c:v>1.4753390429726527</c:v>
                </c:pt>
                <c:pt idx="155">
                  <c:v>1.4750883453389108</c:v>
                </c:pt>
                <c:pt idx="156">
                  <c:v>1.4560980060343212</c:v>
                </c:pt>
                <c:pt idx="157">
                  <c:v>1.4793147242057998</c:v>
                </c:pt>
                <c:pt idx="158">
                  <c:v>1.4943632062490226</c:v>
                </c:pt>
                <c:pt idx="159">
                  <c:v>1.481946786946706</c:v>
                </c:pt>
                <c:pt idx="160">
                  <c:v>1.4753139349061988</c:v>
                </c:pt>
                <c:pt idx="161">
                  <c:v>1.4592871441881863</c:v>
                </c:pt>
                <c:pt idx="162">
                  <c:v>1.4285062203187109</c:v>
                </c:pt>
                <c:pt idx="163">
                  <c:v>1.4171174463761458</c:v>
                </c:pt>
                <c:pt idx="164">
                  <c:v>1.433232334571809</c:v>
                </c:pt>
                <c:pt idx="165">
                  <c:v>1.455238732887127</c:v>
                </c:pt>
                <c:pt idx="166">
                  <c:v>1.4558538276243949</c:v>
                </c:pt>
                <c:pt idx="167">
                  <c:v>1.4540338817068184</c:v>
                </c:pt>
                <c:pt idx="168">
                  <c:v>1.4549666618403156</c:v>
                </c:pt>
                <c:pt idx="169">
                  <c:v>1.4484430440596765</c:v>
                </c:pt>
                <c:pt idx="170">
                  <c:v>1.4465791824387026</c:v>
                </c:pt>
                <c:pt idx="171">
                  <c:v>1.4603716383107108</c:v>
                </c:pt>
                <c:pt idx="172">
                  <c:v>1.4453361520538179</c:v>
                </c:pt>
                <c:pt idx="173">
                  <c:v>1.4516834656805435</c:v>
                </c:pt>
                <c:pt idx="174">
                  <c:v>1.4655367168539897</c:v>
                </c:pt>
                <c:pt idx="175">
                  <c:v>1.4653936622183541</c:v>
                </c:pt>
                <c:pt idx="176">
                  <c:v>1.4792909055152386</c:v>
                </c:pt>
                <c:pt idx="177">
                  <c:v>1.485295606376265</c:v>
                </c:pt>
                <c:pt idx="178">
                  <c:v>1.4866014508798857</c:v>
                </c:pt>
                <c:pt idx="179">
                  <c:v>1.4833860176232425</c:v>
                </c:pt>
                <c:pt idx="180">
                  <c:v>1.4856607597328264</c:v>
                </c:pt>
                <c:pt idx="181">
                  <c:v>1.4973862092670811</c:v>
                </c:pt>
                <c:pt idx="182">
                  <c:v>1.4957673947728691</c:v>
                </c:pt>
                <c:pt idx="183">
                  <c:v>1.4889956347337665</c:v>
                </c:pt>
                <c:pt idx="184">
                  <c:v>1.4698658655442978</c:v>
                </c:pt>
                <c:pt idx="185">
                  <c:v>1.453154980888288</c:v>
                </c:pt>
                <c:pt idx="186">
                  <c:v>1.4618225423034703</c:v>
                </c:pt>
                <c:pt idx="187">
                  <c:v>1.4862839382723427</c:v>
                </c:pt>
                <c:pt idx="188">
                  <c:v>1.5180269439035305</c:v>
                </c:pt>
                <c:pt idx="189">
                  <c:v>1.5172595263370556</c:v>
                </c:pt>
                <c:pt idx="190">
                  <c:v>1.5303428986227896</c:v>
                </c:pt>
                <c:pt idx="191">
                  <c:v>1.5244134528384417</c:v>
                </c:pt>
                <c:pt idx="192">
                  <c:v>1.5410937035594474</c:v>
                </c:pt>
                <c:pt idx="193">
                  <c:v>1.5489728505123304</c:v>
                </c:pt>
                <c:pt idx="194">
                  <c:v>1.5428346648036535</c:v>
                </c:pt>
                <c:pt idx="195">
                  <c:v>1.5432156755211877</c:v>
                </c:pt>
                <c:pt idx="196">
                  <c:v>1.5463807134980234</c:v>
                </c:pt>
                <c:pt idx="197">
                  <c:v>1.5497114000358947</c:v>
                </c:pt>
                <c:pt idx="198">
                  <c:v>1.5493808680369117</c:v>
                </c:pt>
                <c:pt idx="199">
                  <c:v>1.5418688440370503</c:v>
                </c:pt>
                <c:pt idx="200">
                  <c:v>1.5353724790917953</c:v>
                </c:pt>
                <c:pt idx="201">
                  <c:v>1.5258687318793116</c:v>
                </c:pt>
                <c:pt idx="202">
                  <c:v>1.5290102059206778</c:v>
                </c:pt>
                <c:pt idx="203">
                  <c:v>1.5202904254838989</c:v>
                </c:pt>
                <c:pt idx="204">
                  <c:v>1.5303999937807171</c:v>
                </c:pt>
                <c:pt idx="205">
                  <c:v>1.5290265727542158</c:v>
                </c:pt>
                <c:pt idx="206">
                  <c:v>1.5174113453447824</c:v>
                </c:pt>
                <c:pt idx="207">
                  <c:v>1.4765526081870823</c:v>
                </c:pt>
                <c:pt idx="208">
                  <c:v>1.4793252965514174</c:v>
                </c:pt>
                <c:pt idx="209">
                  <c:v>1.5073969021463218</c:v>
                </c:pt>
                <c:pt idx="210">
                  <c:v>1.535601454602965</c:v>
                </c:pt>
                <c:pt idx="211">
                  <c:v>1.5350493076745471</c:v>
                </c:pt>
                <c:pt idx="212">
                  <c:v>1.5369664054748462</c:v>
                </c:pt>
                <c:pt idx="213">
                  <c:v>1.5046198121596566</c:v>
                </c:pt>
                <c:pt idx="214">
                  <c:v>1.5050189874200504</c:v>
                </c:pt>
                <c:pt idx="215">
                  <c:v>1.4949160851856049</c:v>
                </c:pt>
                <c:pt idx="216">
                  <c:v>1.5075162717036494</c:v>
                </c:pt>
                <c:pt idx="217">
                  <c:v>1.4799520197147038</c:v>
                </c:pt>
                <c:pt idx="218">
                  <c:v>1.5075089594243685</c:v>
                </c:pt>
                <c:pt idx="219">
                  <c:v>1.5190795454493649</c:v>
                </c:pt>
                <c:pt idx="220">
                  <c:v>1.5360170658195516</c:v>
                </c:pt>
                <c:pt idx="221">
                  <c:v>1.5300681174221515</c:v>
                </c:pt>
                <c:pt idx="222">
                  <c:v>1.5165471930745897</c:v>
                </c:pt>
                <c:pt idx="223">
                  <c:v>1.5128651048972819</c:v>
                </c:pt>
                <c:pt idx="224">
                  <c:v>1.5091333750218658</c:v>
                </c:pt>
                <c:pt idx="225">
                  <c:v>1.5385118046112731</c:v>
                </c:pt>
                <c:pt idx="226">
                  <c:v>1.5612114182893424</c:v>
                </c:pt>
                <c:pt idx="227">
                  <c:v>1.5738902022781613</c:v>
                </c:pt>
                <c:pt idx="228">
                  <c:v>1.583875391186343</c:v>
                </c:pt>
                <c:pt idx="229">
                  <c:v>1.5895314775806431</c:v>
                </c:pt>
                <c:pt idx="230">
                  <c:v>1.6035341934091045</c:v>
                </c:pt>
                <c:pt idx="231">
                  <c:v>1.6139756652192263</c:v>
                </c:pt>
                <c:pt idx="232">
                  <c:v>1.6404262036470221</c:v>
                </c:pt>
                <c:pt idx="233">
                  <c:v>1.6717853289835281</c:v>
                </c:pt>
                <c:pt idx="234">
                  <c:v>1.6581445136206574</c:v>
                </c:pt>
                <c:pt idx="235">
                  <c:v>1.6899606913967968</c:v>
                </c:pt>
                <c:pt idx="236">
                  <c:v>1.6968235598363588</c:v>
                </c:pt>
                <c:pt idx="237">
                  <c:v>1.716920962670474</c:v>
                </c:pt>
                <c:pt idx="238">
                  <c:v>1.7251427679723166</c:v>
                </c:pt>
                <c:pt idx="239">
                  <c:v>1.7413661881174516</c:v>
                </c:pt>
                <c:pt idx="240">
                  <c:v>1.7967340224965564</c:v>
                </c:pt>
                <c:pt idx="241">
                  <c:v>1.7956558596284877</c:v>
                </c:pt>
                <c:pt idx="242">
                  <c:v>1.8048901932749457</c:v>
                </c:pt>
                <c:pt idx="243">
                  <c:v>1.7755137292675396</c:v>
                </c:pt>
                <c:pt idx="244">
                  <c:v>1.7535483938902134</c:v>
                </c:pt>
                <c:pt idx="245">
                  <c:v>1.7686403050331738</c:v>
                </c:pt>
                <c:pt idx="246">
                  <c:v>1.7668686861444927</c:v>
                </c:pt>
                <c:pt idx="247">
                  <c:v>1.7550421230299147</c:v>
                </c:pt>
                <c:pt idx="248">
                  <c:v>1.7648999935389662</c:v>
                </c:pt>
                <c:pt idx="249">
                  <c:v>1.7546537097922887</c:v>
                </c:pt>
                <c:pt idx="250">
                  <c:v>1.8063246193630251</c:v>
                </c:pt>
                <c:pt idx="251">
                  <c:v>1.8360941250048948</c:v>
                </c:pt>
              </c:numCache>
            </c:numRef>
          </c:val>
          <c:smooth val="0"/>
        </c:ser>
        <c:ser>
          <c:idx val="3"/>
          <c:order val="3"/>
          <c:tx>
            <c:v>Diversified Risk Parity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PCA!$BA$5:$BA$256</c:f>
              <c:numCache>
                <c:formatCode>General</c:formatCode>
                <c:ptCount val="2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</c:numCache>
            </c:numRef>
          </c:cat>
          <c:val>
            <c:numRef>
              <c:f>PCA!$BE$5:$BE$256</c:f>
              <c:numCache>
                <c:formatCode>General</c:formatCode>
                <c:ptCount val="252"/>
                <c:pt idx="0">
                  <c:v>0.76971061664286644</c:v>
                </c:pt>
                <c:pt idx="1">
                  <c:v>0.77875152930187219</c:v>
                </c:pt>
                <c:pt idx="2">
                  <c:v>0.788627945622424</c:v>
                </c:pt>
                <c:pt idx="3">
                  <c:v>0.79648539159114307</c:v>
                </c:pt>
                <c:pt idx="4">
                  <c:v>0.792055022748134</c:v>
                </c:pt>
                <c:pt idx="5">
                  <c:v>0.79190543455006968</c:v>
                </c:pt>
                <c:pt idx="6">
                  <c:v>0.79641783064037364</c:v>
                </c:pt>
                <c:pt idx="7">
                  <c:v>0.79806290779184041</c:v>
                </c:pt>
                <c:pt idx="8">
                  <c:v>0.79736896999265938</c:v>
                </c:pt>
                <c:pt idx="9">
                  <c:v>0.80204452508183777</c:v>
                </c:pt>
                <c:pt idx="10">
                  <c:v>0.80475770169848715</c:v>
                </c:pt>
                <c:pt idx="11">
                  <c:v>0.80268197673986097</c:v>
                </c:pt>
                <c:pt idx="12">
                  <c:v>0.78714287448194609</c:v>
                </c:pt>
                <c:pt idx="13">
                  <c:v>0.7917573206236812</c:v>
                </c:pt>
                <c:pt idx="14">
                  <c:v>0.78882054458610495</c:v>
                </c:pt>
                <c:pt idx="15">
                  <c:v>0.79497388943555403</c:v>
                </c:pt>
                <c:pt idx="16">
                  <c:v>0.80891599025320693</c:v>
                </c:pt>
                <c:pt idx="17">
                  <c:v>0.80832451517188608</c:v>
                </c:pt>
                <c:pt idx="18">
                  <c:v>0.81842548177796659</c:v>
                </c:pt>
                <c:pt idx="19">
                  <c:v>0.81495847153620704</c:v>
                </c:pt>
                <c:pt idx="20">
                  <c:v>0.82438475135181966</c:v>
                </c:pt>
                <c:pt idx="21">
                  <c:v>0.82731268514129508</c:v>
                </c:pt>
                <c:pt idx="22">
                  <c:v>0.82680799901638125</c:v>
                </c:pt>
                <c:pt idx="23">
                  <c:v>0.83014499178978829</c:v>
                </c:pt>
                <c:pt idx="24">
                  <c:v>0.83500331513295434</c:v>
                </c:pt>
                <c:pt idx="25">
                  <c:v>0.83791855096166756</c:v>
                </c:pt>
                <c:pt idx="26">
                  <c:v>0.84612388246546089</c:v>
                </c:pt>
                <c:pt idx="27">
                  <c:v>0.84578687958924548</c:v>
                </c:pt>
                <c:pt idx="28">
                  <c:v>0.8391797819542024</c:v>
                </c:pt>
                <c:pt idx="29">
                  <c:v>0.84663217262698465</c:v>
                </c:pt>
                <c:pt idx="30">
                  <c:v>0.8397944491838476</c:v>
                </c:pt>
                <c:pt idx="31">
                  <c:v>0.86985108111843457</c:v>
                </c:pt>
                <c:pt idx="32">
                  <c:v>0.87522675816812567</c:v>
                </c:pt>
                <c:pt idx="33">
                  <c:v>0.88162645975806964</c:v>
                </c:pt>
                <c:pt idx="34">
                  <c:v>0.88994863099077626</c:v>
                </c:pt>
                <c:pt idx="35">
                  <c:v>0.89695285463160235</c:v>
                </c:pt>
                <c:pt idx="36">
                  <c:v>0.8905898080922211</c:v>
                </c:pt>
                <c:pt idx="37">
                  <c:v>0.87068979291252491</c:v>
                </c:pt>
                <c:pt idx="38">
                  <c:v>0.86638933504863735</c:v>
                </c:pt>
                <c:pt idx="39">
                  <c:v>0.86680986642194036</c:v>
                </c:pt>
                <c:pt idx="40">
                  <c:v>0.88045374033490065</c:v>
                </c:pt>
                <c:pt idx="41">
                  <c:v>0.87520878854062145</c:v>
                </c:pt>
                <c:pt idx="42">
                  <c:v>0.87959356428033941</c:v>
                </c:pt>
                <c:pt idx="43">
                  <c:v>0.87129656701897162</c:v>
                </c:pt>
                <c:pt idx="44">
                  <c:v>0.85941659099673129</c:v>
                </c:pt>
                <c:pt idx="45">
                  <c:v>0.85923462638729875</c:v>
                </c:pt>
                <c:pt idx="46">
                  <c:v>0.84370916297070286</c:v>
                </c:pt>
                <c:pt idx="47">
                  <c:v>0.85501049478089708</c:v>
                </c:pt>
                <c:pt idx="48">
                  <c:v>0.87200547583276578</c:v>
                </c:pt>
                <c:pt idx="49">
                  <c:v>0.84795583417645248</c:v>
                </c:pt>
                <c:pt idx="50">
                  <c:v>0.86646730284715612</c:v>
                </c:pt>
                <c:pt idx="51">
                  <c:v>0.85806837324521268</c:v>
                </c:pt>
                <c:pt idx="52">
                  <c:v>0.88312190926265288</c:v>
                </c:pt>
                <c:pt idx="53">
                  <c:v>0.87901937841512101</c:v>
                </c:pt>
                <c:pt idx="54">
                  <c:v>0.88104117731198894</c:v>
                </c:pt>
                <c:pt idx="55">
                  <c:v>0.88983559986041683</c:v>
                </c:pt>
                <c:pt idx="56">
                  <c:v>0.8911200273505997</c:v>
                </c:pt>
                <c:pt idx="57">
                  <c:v>0.89875542867721891</c:v>
                </c:pt>
                <c:pt idx="58">
                  <c:v>0.8883894135614725</c:v>
                </c:pt>
                <c:pt idx="59">
                  <c:v>0.8870150908824399</c:v>
                </c:pt>
                <c:pt idx="60">
                  <c:v>0.89284330966170899</c:v>
                </c:pt>
                <c:pt idx="61">
                  <c:v>0.87768092777075024</c:v>
                </c:pt>
                <c:pt idx="62">
                  <c:v>0.87227286769109869</c:v>
                </c:pt>
                <c:pt idx="63">
                  <c:v>0.88631642913318331</c:v>
                </c:pt>
                <c:pt idx="64">
                  <c:v>0.84944844373354722</c:v>
                </c:pt>
                <c:pt idx="65">
                  <c:v>0.84668447837499461</c:v>
                </c:pt>
                <c:pt idx="66">
                  <c:v>0.87264107775581601</c:v>
                </c:pt>
                <c:pt idx="67">
                  <c:v>0.85616834674907272</c:v>
                </c:pt>
                <c:pt idx="68">
                  <c:v>0.84889483677690647</c:v>
                </c:pt>
                <c:pt idx="69">
                  <c:v>0.81769040750998356</c:v>
                </c:pt>
                <c:pt idx="70">
                  <c:v>0.81926804301672984</c:v>
                </c:pt>
                <c:pt idx="71">
                  <c:v>0.81362420263699187</c:v>
                </c:pt>
                <c:pt idx="72">
                  <c:v>0.84610334924366737</c:v>
                </c:pt>
                <c:pt idx="73">
                  <c:v>0.85463921256955588</c:v>
                </c:pt>
                <c:pt idx="74">
                  <c:v>0.85655454294632904</c:v>
                </c:pt>
                <c:pt idx="75">
                  <c:v>0.86297866635072018</c:v>
                </c:pt>
                <c:pt idx="76">
                  <c:v>0.86487205204236328</c:v>
                </c:pt>
                <c:pt idx="77">
                  <c:v>0.85468033477324301</c:v>
                </c:pt>
                <c:pt idx="78">
                  <c:v>0.86031124879043974</c:v>
                </c:pt>
                <c:pt idx="79">
                  <c:v>0.84778959503254381</c:v>
                </c:pt>
                <c:pt idx="80">
                  <c:v>0.84017016296038483</c:v>
                </c:pt>
                <c:pt idx="81">
                  <c:v>0.84671205672034322</c:v>
                </c:pt>
                <c:pt idx="82">
                  <c:v>0.83762436556658582</c:v>
                </c:pt>
                <c:pt idx="83">
                  <c:v>0.82785127066148645</c:v>
                </c:pt>
                <c:pt idx="84">
                  <c:v>0.83099569751133018</c:v>
                </c:pt>
                <c:pt idx="85">
                  <c:v>0.84916352980576648</c:v>
                </c:pt>
                <c:pt idx="86">
                  <c:v>0.84356277027344773</c:v>
                </c:pt>
                <c:pt idx="87">
                  <c:v>0.84366878858351346</c:v>
                </c:pt>
                <c:pt idx="88">
                  <c:v>0.85017471087966734</c:v>
                </c:pt>
                <c:pt idx="89">
                  <c:v>0.85838786789870147</c:v>
                </c:pt>
                <c:pt idx="90">
                  <c:v>0.8624504565298825</c:v>
                </c:pt>
                <c:pt idx="91">
                  <c:v>0.86006283995549837</c:v>
                </c:pt>
                <c:pt idx="92">
                  <c:v>0.86796848295333207</c:v>
                </c:pt>
                <c:pt idx="93">
                  <c:v>0.8760626103429997</c:v>
                </c:pt>
                <c:pt idx="94">
                  <c:v>0.88669635499204391</c:v>
                </c:pt>
                <c:pt idx="95">
                  <c:v>0.90898307258158151</c:v>
                </c:pt>
                <c:pt idx="96">
                  <c:v>0.92414619640798124</c:v>
                </c:pt>
                <c:pt idx="97">
                  <c:v>0.90571211481253955</c:v>
                </c:pt>
                <c:pt idx="98">
                  <c:v>0.92547983408585499</c:v>
                </c:pt>
                <c:pt idx="99">
                  <c:v>0.9277743204450738</c:v>
                </c:pt>
                <c:pt idx="100">
                  <c:v>0.91110036145373086</c:v>
                </c:pt>
                <c:pt idx="101">
                  <c:v>0.89567370748145914</c:v>
                </c:pt>
                <c:pt idx="102">
                  <c:v>0.91160249535905791</c:v>
                </c:pt>
                <c:pt idx="103">
                  <c:v>0.89049999179734685</c:v>
                </c:pt>
                <c:pt idx="104">
                  <c:v>0.90480384390138269</c:v>
                </c:pt>
                <c:pt idx="105">
                  <c:v>0.91025657230848989</c:v>
                </c:pt>
                <c:pt idx="106">
                  <c:v>0.91281831794340951</c:v>
                </c:pt>
                <c:pt idx="107">
                  <c:v>0.89700757765547068</c:v>
                </c:pt>
                <c:pt idx="108">
                  <c:v>0.89345480183493198</c:v>
                </c:pt>
                <c:pt idx="109">
                  <c:v>0.88689946537734232</c:v>
                </c:pt>
                <c:pt idx="110">
                  <c:v>0.88661914425181421</c:v>
                </c:pt>
                <c:pt idx="111">
                  <c:v>0.87751894484051174</c:v>
                </c:pt>
                <c:pt idx="112">
                  <c:v>0.88489288015491219</c:v>
                </c:pt>
                <c:pt idx="113">
                  <c:v>0.89892668328060854</c:v>
                </c:pt>
                <c:pt idx="114">
                  <c:v>0.90691306072881683</c:v>
                </c:pt>
                <c:pt idx="115">
                  <c:v>0.89688743502402835</c:v>
                </c:pt>
                <c:pt idx="116">
                  <c:v>0.88772140535635291</c:v>
                </c:pt>
                <c:pt idx="117">
                  <c:v>0.87207084139609958</c:v>
                </c:pt>
                <c:pt idx="118">
                  <c:v>0.88081847756022458</c:v>
                </c:pt>
                <c:pt idx="119">
                  <c:v>0.898936258101934</c:v>
                </c:pt>
                <c:pt idx="120">
                  <c:v>0.89401918695681659</c:v>
                </c:pt>
                <c:pt idx="121">
                  <c:v>0.88587949881595662</c:v>
                </c:pt>
                <c:pt idx="122">
                  <c:v>0.87937382005947107</c:v>
                </c:pt>
                <c:pt idx="123">
                  <c:v>0.88972292093901617</c:v>
                </c:pt>
                <c:pt idx="124">
                  <c:v>0.89919923373409549</c:v>
                </c:pt>
                <c:pt idx="125">
                  <c:v>0.91056691106960419</c:v>
                </c:pt>
                <c:pt idx="126">
                  <c:v>0.90417895687873706</c:v>
                </c:pt>
                <c:pt idx="127">
                  <c:v>0.90335827173822003</c:v>
                </c:pt>
                <c:pt idx="128">
                  <c:v>0.90502519236539769</c:v>
                </c:pt>
                <c:pt idx="129">
                  <c:v>0.91952606405899995</c:v>
                </c:pt>
                <c:pt idx="130">
                  <c:v>0.91896003582094732</c:v>
                </c:pt>
                <c:pt idx="131">
                  <c:v>0.93120527457162394</c:v>
                </c:pt>
                <c:pt idx="132">
                  <c:v>0.93435830909834938</c:v>
                </c:pt>
                <c:pt idx="133">
                  <c:v>0.94687950570476598</c:v>
                </c:pt>
                <c:pt idx="134">
                  <c:v>0.93994315053325228</c:v>
                </c:pt>
                <c:pt idx="135">
                  <c:v>0.93834794019115275</c:v>
                </c:pt>
                <c:pt idx="136">
                  <c:v>0.9326027690105525</c:v>
                </c:pt>
                <c:pt idx="137">
                  <c:v>0.92264356081474808</c:v>
                </c:pt>
                <c:pt idx="138">
                  <c:v>0.93598125818471867</c:v>
                </c:pt>
                <c:pt idx="139">
                  <c:v>0.93408737150638088</c:v>
                </c:pt>
                <c:pt idx="140">
                  <c:v>0.92421569359487477</c:v>
                </c:pt>
                <c:pt idx="141">
                  <c:v>0.93135484546686109</c:v>
                </c:pt>
                <c:pt idx="142">
                  <c:v>0.93768536526758495</c:v>
                </c:pt>
                <c:pt idx="143">
                  <c:v>0.92875642980600759</c:v>
                </c:pt>
                <c:pt idx="144">
                  <c:v>0.93008027392993153</c:v>
                </c:pt>
                <c:pt idx="145">
                  <c:v>0.94041548262729413</c:v>
                </c:pt>
                <c:pt idx="146">
                  <c:v>0.94588485391818677</c:v>
                </c:pt>
                <c:pt idx="147">
                  <c:v>0.94953072779365344</c:v>
                </c:pt>
                <c:pt idx="148">
                  <c:v>0.94988318862658883</c:v>
                </c:pt>
                <c:pt idx="149">
                  <c:v>0.96985543439116872</c:v>
                </c:pt>
                <c:pt idx="150">
                  <c:v>0.97536717772897552</c:v>
                </c:pt>
                <c:pt idx="151">
                  <c:v>0.98267991612273309</c:v>
                </c:pt>
                <c:pt idx="152">
                  <c:v>0.9882571067429391</c:v>
                </c:pt>
                <c:pt idx="153">
                  <c:v>0.9928595219749401</c:v>
                </c:pt>
                <c:pt idx="154">
                  <c:v>0.99533384219300514</c:v>
                </c:pt>
                <c:pt idx="155">
                  <c:v>0.99515864032491241</c:v>
                </c:pt>
                <c:pt idx="156">
                  <c:v>0.97931464015656333</c:v>
                </c:pt>
                <c:pt idx="157">
                  <c:v>0.99880655666472895</c:v>
                </c:pt>
                <c:pt idx="158">
                  <c:v>1.0084874311289527</c:v>
                </c:pt>
                <c:pt idx="159">
                  <c:v>0.99649074520971903</c:v>
                </c:pt>
                <c:pt idx="160">
                  <c:v>0.98923236860899777</c:v>
                </c:pt>
                <c:pt idx="161">
                  <c:v>0.97454712782777309</c:v>
                </c:pt>
                <c:pt idx="162">
                  <c:v>0.94364120904878068</c:v>
                </c:pt>
                <c:pt idx="163">
                  <c:v>0.94206783312473985</c:v>
                </c:pt>
                <c:pt idx="164">
                  <c:v>0.95014304060964583</c:v>
                </c:pt>
                <c:pt idx="165">
                  <c:v>0.96910805699930624</c:v>
                </c:pt>
                <c:pt idx="166">
                  <c:v>0.96744505008328074</c:v>
                </c:pt>
                <c:pt idx="167">
                  <c:v>0.95064385039852406</c:v>
                </c:pt>
                <c:pt idx="168">
                  <c:v>0.94558041479946775</c:v>
                </c:pt>
                <c:pt idx="169">
                  <c:v>0.94713735127338061</c:v>
                </c:pt>
                <c:pt idx="170">
                  <c:v>0.94038579886421214</c:v>
                </c:pt>
                <c:pt idx="171">
                  <c:v>0.9554381220970396</c:v>
                </c:pt>
                <c:pt idx="172">
                  <c:v>0.94293351898824418</c:v>
                </c:pt>
                <c:pt idx="173">
                  <c:v>0.94806812633109072</c:v>
                </c:pt>
                <c:pt idx="174">
                  <c:v>0.96015029889186976</c:v>
                </c:pt>
                <c:pt idx="175">
                  <c:v>0.9603940832089245</c:v>
                </c:pt>
                <c:pt idx="176">
                  <c:v>0.97056723662173794</c:v>
                </c:pt>
                <c:pt idx="177">
                  <c:v>0.97652511387048158</c:v>
                </c:pt>
                <c:pt idx="178">
                  <c:v>0.97453624998104793</c:v>
                </c:pt>
                <c:pt idx="179">
                  <c:v>0.97075244884868228</c:v>
                </c:pt>
                <c:pt idx="180">
                  <c:v>0.9734084205420932</c:v>
                </c:pt>
                <c:pt idx="181">
                  <c:v>0.98124459292495025</c:v>
                </c:pt>
                <c:pt idx="182">
                  <c:v>0.98011690995565859</c:v>
                </c:pt>
                <c:pt idx="183">
                  <c:v>0.97346575338789221</c:v>
                </c:pt>
                <c:pt idx="184">
                  <c:v>0.96151955372713993</c:v>
                </c:pt>
                <c:pt idx="185">
                  <c:v>0.94529087982353632</c:v>
                </c:pt>
                <c:pt idx="186">
                  <c:v>0.95617139637517556</c:v>
                </c:pt>
                <c:pt idx="187">
                  <c:v>0.97647806434824291</c:v>
                </c:pt>
                <c:pt idx="188">
                  <c:v>1.0011307276085555</c:v>
                </c:pt>
                <c:pt idx="189">
                  <c:v>0.99647574326981037</c:v>
                </c:pt>
                <c:pt idx="190">
                  <c:v>1.0074117925481905</c:v>
                </c:pt>
                <c:pt idx="191">
                  <c:v>1.0051493392503348</c:v>
                </c:pt>
                <c:pt idx="192">
                  <c:v>1.0140353328750722</c:v>
                </c:pt>
                <c:pt idx="193">
                  <c:v>1.0163663602933644</c:v>
                </c:pt>
                <c:pt idx="194">
                  <c:v>1.0096148039323558</c:v>
                </c:pt>
                <c:pt idx="195">
                  <c:v>1.0086636938262978</c:v>
                </c:pt>
                <c:pt idx="196">
                  <c:v>1.0175386763045684</c:v>
                </c:pt>
                <c:pt idx="197">
                  <c:v>1.020840508105221</c:v>
                </c:pt>
                <c:pt idx="198">
                  <c:v>1.0155759500684227</c:v>
                </c:pt>
                <c:pt idx="199">
                  <c:v>1.0098897261244884</c:v>
                </c:pt>
                <c:pt idx="200">
                  <c:v>1.003297117294782</c:v>
                </c:pt>
                <c:pt idx="201">
                  <c:v>1.0030281623246751</c:v>
                </c:pt>
                <c:pt idx="202">
                  <c:v>1.0011984168458772</c:v>
                </c:pt>
                <c:pt idx="203">
                  <c:v>0.99271977997529093</c:v>
                </c:pt>
                <c:pt idx="204">
                  <c:v>0.99759929625417942</c:v>
                </c:pt>
                <c:pt idx="205">
                  <c:v>0.99790706551295105</c:v>
                </c:pt>
                <c:pt idx="206">
                  <c:v>0.99468664014867769</c:v>
                </c:pt>
                <c:pt idx="207">
                  <c:v>0.9641284135455267</c:v>
                </c:pt>
                <c:pt idx="208">
                  <c:v>0.96481777088475251</c:v>
                </c:pt>
                <c:pt idx="209">
                  <c:v>0.99313879233554681</c:v>
                </c:pt>
                <c:pt idx="210">
                  <c:v>1.0182628004584575</c:v>
                </c:pt>
                <c:pt idx="211">
                  <c:v>1.0105802614432977</c:v>
                </c:pt>
                <c:pt idx="212">
                  <c:v>1.012069461945849</c:v>
                </c:pt>
                <c:pt idx="213">
                  <c:v>0.99576284944622595</c:v>
                </c:pt>
                <c:pt idx="214">
                  <c:v>0.99901056287239465</c:v>
                </c:pt>
                <c:pt idx="215">
                  <c:v>0.99317602908188063</c:v>
                </c:pt>
                <c:pt idx="216">
                  <c:v>0.99630783548124668</c:v>
                </c:pt>
                <c:pt idx="217">
                  <c:v>0.97743633392876095</c:v>
                </c:pt>
                <c:pt idx="218">
                  <c:v>0.99809249058894922</c:v>
                </c:pt>
                <c:pt idx="219">
                  <c:v>1.0060214546004826</c:v>
                </c:pt>
                <c:pt idx="220">
                  <c:v>1.0195068405919856</c:v>
                </c:pt>
                <c:pt idx="221">
                  <c:v>1.0118643210298042</c:v>
                </c:pt>
                <c:pt idx="222">
                  <c:v>1.0019564777650085</c:v>
                </c:pt>
                <c:pt idx="223">
                  <c:v>1.0030026634094398</c:v>
                </c:pt>
                <c:pt idx="224">
                  <c:v>0.99707645478318574</c:v>
                </c:pt>
                <c:pt idx="225">
                  <c:v>1.0171665297372401</c:v>
                </c:pt>
                <c:pt idx="226">
                  <c:v>1.0371860231503176</c:v>
                </c:pt>
                <c:pt idx="227">
                  <c:v>1.0419904990701101</c:v>
                </c:pt>
                <c:pt idx="228">
                  <c:v>1.0492946819419677</c:v>
                </c:pt>
                <c:pt idx="229">
                  <c:v>1.0567997823096138</c:v>
                </c:pt>
                <c:pt idx="230">
                  <c:v>1.0685190413491277</c:v>
                </c:pt>
                <c:pt idx="231">
                  <c:v>1.0911339548800179</c:v>
                </c:pt>
                <c:pt idx="232">
                  <c:v>1.1068261965544559</c:v>
                </c:pt>
                <c:pt idx="233">
                  <c:v>1.1425015540092192</c:v>
                </c:pt>
                <c:pt idx="234">
                  <c:v>1.1113375259116787</c:v>
                </c:pt>
                <c:pt idx="235">
                  <c:v>1.1392008627791639</c:v>
                </c:pt>
                <c:pt idx="236">
                  <c:v>1.1367748985797843</c:v>
                </c:pt>
                <c:pt idx="237">
                  <c:v>1.1571253066168294</c:v>
                </c:pt>
                <c:pt idx="238">
                  <c:v>1.165510121361337</c:v>
                </c:pt>
                <c:pt idx="239">
                  <c:v>1.174743196600881</c:v>
                </c:pt>
                <c:pt idx="240">
                  <c:v>1.2313851158184101</c:v>
                </c:pt>
                <c:pt idx="241">
                  <c:v>1.2283369623860783</c:v>
                </c:pt>
                <c:pt idx="242">
                  <c:v>1.2457200055256765</c:v>
                </c:pt>
                <c:pt idx="243">
                  <c:v>1.2308837734458664</c:v>
                </c:pt>
                <c:pt idx="244">
                  <c:v>1.2109831644383371</c:v>
                </c:pt>
                <c:pt idx="245">
                  <c:v>1.2285260771950424</c:v>
                </c:pt>
                <c:pt idx="246">
                  <c:v>1.2191319888577654</c:v>
                </c:pt>
                <c:pt idx="247">
                  <c:v>1.2073061258534796</c:v>
                </c:pt>
                <c:pt idx="248">
                  <c:v>1.2156645143406306</c:v>
                </c:pt>
                <c:pt idx="249">
                  <c:v>1.2005220287203653</c:v>
                </c:pt>
                <c:pt idx="250">
                  <c:v>1.254006639308674</c:v>
                </c:pt>
                <c:pt idx="251">
                  <c:v>1.2833102697687453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42515696"/>
        <c:axId val="-342515152"/>
      </c:lineChart>
      <c:catAx>
        <c:axId val="-34251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2515152"/>
        <c:crosses val="autoZero"/>
        <c:auto val="1"/>
        <c:lblAlgn val="ctr"/>
        <c:lblOffset val="100"/>
        <c:noMultiLvlLbl val="0"/>
      </c:catAx>
      <c:valAx>
        <c:axId val="-3425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251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5866913882219023"/>
          <c:y val="0.63482122978199162"/>
          <c:w val="0.22346517906109525"/>
          <c:h val="0.207925464015752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3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3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130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723900</xdr:colOff>
      <xdr:row>11</xdr:row>
      <xdr:rowOff>133350</xdr:rowOff>
    </xdr:from>
    <xdr:ext cx="19931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2315825" y="1914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HK"/>
        </a:p>
      </xdr:txBody>
    </xdr:sp>
    <xdr:clientData/>
  </xdr:oneCellAnchor>
  <xdr:twoCellAnchor>
    <xdr:from>
      <xdr:col>12</xdr:col>
      <xdr:colOff>366713</xdr:colOff>
      <xdr:row>7</xdr:row>
      <xdr:rowOff>38100</xdr:rowOff>
    </xdr:from>
    <xdr:to>
      <xdr:col>18</xdr:col>
      <xdr:colOff>457200</xdr:colOff>
      <xdr:row>32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11372850" y="1171575"/>
          <a:ext cx="4505325" cy="408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calculation of eigenvectors</a:t>
          </a:r>
          <a:r>
            <a:rPr lang="en-US" sz="1100" baseline="0"/>
            <a:t> and eigenvalues involves the use of array functions</a:t>
          </a:r>
        </a:p>
        <a:p>
          <a:endParaRPr lang="en-US" sz="1100" baseline="0"/>
        </a:p>
        <a:p>
          <a:r>
            <a:rPr lang="en-US" sz="1100" b="1" baseline="0"/>
            <a:t>Eigenvalues</a:t>
          </a:r>
        </a:p>
        <a:p>
          <a:r>
            <a:rPr lang="en-US" sz="1100" baseline="0"/>
            <a:t>1. Select a range of cells that corresponds to the size of the matrix. (In the example the matrix is 9 by 9 and  cells C13:K21 are selected.) </a:t>
          </a:r>
        </a:p>
        <a:p>
          <a:r>
            <a:rPr lang="en-US" sz="1100" baseline="0"/>
            <a:t>2. While selected cells are displayed enter  =eigenvalue(...) .  The argument of eigenvalue  should be the range of cells corresponding to the original matrix. (In the example this is C1:K9 so that the formula entered is =eigenvalue(C1:K9)</a:t>
          </a:r>
        </a:p>
        <a:p>
          <a:r>
            <a:rPr lang="en-US" sz="1100" baseline="0"/>
            <a:t>3. Press Control+Shift+Enter</a:t>
          </a:r>
        </a:p>
        <a:p>
          <a:r>
            <a:rPr lang="en-US" sz="1100"/>
            <a:t>4. The eigenvalues are displayed on the diagonal of the</a:t>
          </a:r>
          <a:r>
            <a:rPr lang="en-US" sz="1100" baseline="0"/>
            <a:t> matrix that is produced</a:t>
          </a:r>
        </a:p>
        <a:p>
          <a:endParaRPr lang="en-US" sz="1100" baseline="0"/>
        </a:p>
        <a:p>
          <a:r>
            <a:rPr lang="en-US" sz="1100" b="1" baseline="0"/>
            <a:t>Eigenvectors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Select a range of cells that corresponds to the size of the matrix. (In the example the matrix is 9 by 9 and  cells C25:K33 are selected.)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While selected cells are displayed enter  =eigenvector(...) .  The argument of eigenvalue  should be the range of cells corresponding to the original matrix. (In the example this is C1:K9 so that the formula entered is =eigenvector(C1:K9)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Press Control+Shift+Enter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The eigenvectors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the columns of the  matrix that is produced</a:t>
          </a:r>
          <a:endParaRPr lang="en-US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0</xdr:col>
      <xdr:colOff>61914</xdr:colOff>
      <xdr:row>1</xdr:row>
      <xdr:rowOff>38100</xdr:rowOff>
    </xdr:from>
    <xdr:to>
      <xdr:col>1</xdr:col>
      <xdr:colOff>528638</xdr:colOff>
      <xdr:row>6</xdr:row>
      <xdr:rowOff>76199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57151" y="200025"/>
          <a:ext cx="1047749" cy="8477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Matrix for which eigenvalues and eigenvectors are required is in F1:N9</a:t>
          </a:r>
        </a:p>
      </xdr:txBody>
    </xdr:sp>
    <xdr:clientData/>
  </xdr:twoCellAnchor>
  <xdr:twoCellAnchor>
    <xdr:from>
      <xdr:col>0</xdr:col>
      <xdr:colOff>1</xdr:colOff>
      <xdr:row>13</xdr:row>
      <xdr:rowOff>66675</xdr:rowOff>
    </xdr:from>
    <xdr:to>
      <xdr:col>1</xdr:col>
      <xdr:colOff>571501</xdr:colOff>
      <xdr:row>17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1" y="2171700"/>
          <a:ext cx="11430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Eigenvalues are on diagonal in C13:K21</a:t>
          </a:r>
        </a:p>
      </xdr:txBody>
    </xdr:sp>
    <xdr:clientData/>
  </xdr:twoCellAnchor>
  <xdr:twoCellAnchor>
    <xdr:from>
      <xdr:col>0</xdr:col>
      <xdr:colOff>19050</xdr:colOff>
      <xdr:row>26</xdr:row>
      <xdr:rowOff>28575</xdr:rowOff>
    </xdr:from>
    <xdr:to>
      <xdr:col>1</xdr:col>
      <xdr:colOff>561975</xdr:colOff>
      <xdr:row>30</xdr:row>
      <xdr:rowOff>123825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19050" y="4238625"/>
          <a:ext cx="11144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Eigenvectors</a:t>
          </a:r>
          <a:r>
            <a:rPr lang="en-US" sz="1100" baseline="0"/>
            <a:t> are in columns  of C25:K23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7620</xdr:colOff>
      <xdr:row>22</xdr:row>
      <xdr:rowOff>7620</xdr:rowOff>
    </xdr:from>
    <xdr:to>
      <xdr:col>51</xdr:col>
      <xdr:colOff>0</xdr:colOff>
      <xdr:row>29</xdr:row>
      <xdr:rowOff>160020</xdr:rowOff>
    </xdr:to>
    <xdr:sp macro="" textlink="">
      <xdr:nvSpPr>
        <xdr:cNvPr id="5" name="TextBox 4"/>
        <xdr:cNvSpPr txBox="1"/>
      </xdr:nvSpPr>
      <xdr:spPr>
        <a:xfrm>
          <a:off x="30388560" y="3863340"/>
          <a:ext cx="1325880" cy="137922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(13):</a:t>
          </a:r>
        </a:p>
        <a:p>
          <a:r>
            <a:rPr lang="en-US" sz="1100"/>
            <a:t>GOOGL,</a:t>
          </a:r>
          <a:r>
            <a:rPr lang="en-US" sz="1100" baseline="0"/>
            <a:t> GOOG and FB are in short positions</a:t>
          </a:r>
          <a:endParaRPr lang="en-US" sz="1100"/>
        </a:p>
      </xdr:txBody>
    </xdr:sp>
    <xdr:clientData/>
  </xdr:twoCellAnchor>
  <xdr:twoCellAnchor>
    <xdr:from>
      <xdr:col>49</xdr:col>
      <xdr:colOff>0</xdr:colOff>
      <xdr:row>41</xdr:row>
      <xdr:rowOff>0</xdr:rowOff>
    </xdr:from>
    <xdr:to>
      <xdr:col>50</xdr:col>
      <xdr:colOff>708660</xdr:colOff>
      <xdr:row>48</xdr:row>
      <xdr:rowOff>152400</xdr:rowOff>
    </xdr:to>
    <xdr:sp macro="" textlink="">
      <xdr:nvSpPr>
        <xdr:cNvPr id="6" name="TextBox 5"/>
        <xdr:cNvSpPr txBox="1"/>
      </xdr:nvSpPr>
      <xdr:spPr>
        <a:xfrm>
          <a:off x="30380940" y="7185660"/>
          <a:ext cx="1325880" cy="137922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(14):</a:t>
          </a:r>
        </a:p>
        <a:p>
          <a:r>
            <a:rPr lang="en-US" sz="1100"/>
            <a:t>GOOGL,</a:t>
          </a:r>
          <a:r>
            <a:rPr lang="en-US" sz="1100" baseline="0"/>
            <a:t> GOOG and FB are in short positions</a:t>
          </a:r>
          <a:endParaRPr lang="en-US" sz="1100"/>
        </a:p>
      </xdr:txBody>
    </xdr:sp>
    <xdr:clientData/>
  </xdr:twoCellAnchor>
  <xdr:twoCellAnchor>
    <xdr:from>
      <xdr:col>62</xdr:col>
      <xdr:colOff>22860</xdr:colOff>
      <xdr:row>2</xdr:row>
      <xdr:rowOff>22860</xdr:rowOff>
    </xdr:from>
    <xdr:to>
      <xdr:col>65</xdr:col>
      <xdr:colOff>297180</xdr:colOff>
      <xdr:row>15</xdr:row>
      <xdr:rowOff>68580</xdr:rowOff>
    </xdr:to>
    <xdr:sp macro="" textlink="">
      <xdr:nvSpPr>
        <xdr:cNvPr id="8" name="TextBox 7"/>
        <xdr:cNvSpPr txBox="1"/>
      </xdr:nvSpPr>
      <xdr:spPr>
        <a:xfrm>
          <a:off x="38625780" y="373380"/>
          <a:ext cx="2125980" cy="232410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(16):</a:t>
          </a:r>
        </a:p>
        <a:p>
          <a:r>
            <a:rPr lang="en-US" sz="1100"/>
            <a:t>1. All</a:t>
          </a:r>
          <a:r>
            <a:rPr lang="en-US" sz="1100" baseline="0"/>
            <a:t> 4 portfolios have positive gains.</a:t>
          </a:r>
        </a:p>
        <a:p>
          <a:r>
            <a:rPr lang="en-US" sz="1100" baseline="0"/>
            <a:t>2. The standard deviation of EWS is the highest which indicate its returns are more spread and uncertain comparing with others.</a:t>
          </a:r>
        </a:p>
        <a:p>
          <a:r>
            <a:rPr lang="en-US" sz="1100" baseline="0"/>
            <a:t>3. All 4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portfolios has never dropped below the initial value thorugh the year.</a:t>
          </a:r>
          <a:endParaRPr lang="en-US" sz="1100" baseline="0"/>
        </a:p>
        <a:p>
          <a:r>
            <a:rPr lang="en-US" sz="1100" baseline="0"/>
            <a:t>4. DRP is the best stratefy among 4 as it has the highest gain and the lowest sd.</a:t>
          </a:r>
          <a:endParaRPr lang="en-US" sz="1100"/>
        </a:p>
      </xdr:txBody>
    </xdr:sp>
    <xdr:clientData/>
  </xdr:twoCellAnchor>
  <xdr:twoCellAnchor>
    <xdr:from>
      <xdr:col>62</xdr:col>
      <xdr:colOff>7620</xdr:colOff>
      <xdr:row>16</xdr:row>
      <xdr:rowOff>99060</xdr:rowOff>
    </xdr:from>
    <xdr:to>
      <xdr:col>65</xdr:col>
      <xdr:colOff>281940</xdr:colOff>
      <xdr:row>27</xdr:row>
      <xdr:rowOff>91440</xdr:rowOff>
    </xdr:to>
    <xdr:sp macro="" textlink="">
      <xdr:nvSpPr>
        <xdr:cNvPr id="9" name="TextBox 8"/>
        <xdr:cNvSpPr txBox="1"/>
      </xdr:nvSpPr>
      <xdr:spPr>
        <a:xfrm>
          <a:off x="38610540" y="2903220"/>
          <a:ext cx="2125980" cy="192024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(17):</a:t>
          </a:r>
        </a:p>
        <a:p>
          <a:r>
            <a:rPr lang="en-US" sz="1100"/>
            <a:t>1. All four betas are</a:t>
          </a:r>
          <a:r>
            <a:rPr lang="en-US" sz="1100" baseline="0"/>
            <a:t> greater than 1 meaning that all four portfolios are more volatile than the market (S&amp;P 500).</a:t>
          </a:r>
          <a:endParaRPr lang="en-US" sz="1100"/>
        </a:p>
        <a:p>
          <a:endParaRPr lang="en-US" sz="1100"/>
        </a:p>
        <a:p>
          <a:r>
            <a:rPr lang="en-US" sz="1100"/>
            <a:t>2.</a:t>
          </a:r>
          <a:r>
            <a:rPr lang="en-US" sz="1100" baseline="0"/>
            <a:t> </a:t>
          </a:r>
          <a:r>
            <a:rPr lang="en-US" sz="1100"/>
            <a:t>Beta of DRP is lowest among 4 indicating that it has</a:t>
          </a:r>
          <a:r>
            <a:rPr lang="en-US" sz="1100" baseline="0"/>
            <a:t> the lowest systematic risk.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492" cy="628356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492" cy="628356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0.4367</cdr:x>
      <cdr:y>0.78234</cdr:y>
    </cdr:from>
    <cdr:to>
      <cdr:x>0.98104</cdr:x>
      <cdr:y>0.95896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3780693" y="4915877"/>
          <a:ext cx="4712677" cy="1109785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Comments:</a:t>
          </a:r>
        </a:p>
        <a:p xmlns:a="http://schemas.openxmlformats.org/drawingml/2006/main">
          <a:r>
            <a:rPr lang="en-US" sz="1100"/>
            <a:t>1. 2 clusters are clearly observed from the above plot:</a:t>
          </a:r>
        </a:p>
        <a:p xmlns:a="http://schemas.openxmlformats.org/drawingml/2006/main">
          <a:r>
            <a:rPr lang="en-US" sz="1100"/>
            <a:t>   Cluster 1. GOOG and GOOGL: both are of the same company</a:t>
          </a:r>
          <a:r>
            <a:rPr lang="en-US" sz="1100" baseline="0"/>
            <a:t> - Alphabet Inc.</a:t>
          </a:r>
        </a:p>
        <a:p xmlns:a="http://schemas.openxmlformats.org/drawingml/2006/main">
          <a:r>
            <a:rPr lang="en-US" sz="1100" baseline="0"/>
            <a:t>   Cluster 2. BRK-B and JPM: both are of the financial services sector</a:t>
          </a:r>
        </a:p>
        <a:p xmlns:a="http://schemas.openxmlformats.org/drawingml/2006/main">
          <a:r>
            <a:rPr lang="en-US" sz="1100" baseline="0"/>
            <a:t>2. MSFT, AMZN, and FB lies in the same quadrants and have similar PC3</a:t>
          </a:r>
        </a:p>
        <a:p xmlns:a="http://schemas.openxmlformats.org/drawingml/2006/main">
          <a:r>
            <a:rPr lang="en-US" sz="1100" baseline="0"/>
            <a:t>3. AAPL, NVDA and TSLA lies in the same quadrants but they are not clustered </a:t>
          </a:r>
          <a:endParaRPr lang="en-US" sz="1100"/>
        </a:p>
      </cdr:txBody>
    </cdr:sp>
  </cdr:relSizeAnchor>
  <cdr:relSizeAnchor xmlns:cdr="http://schemas.openxmlformats.org/drawingml/2006/chartDrawing">
    <cdr:from>
      <cdr:x>0.31821</cdr:x>
      <cdr:y>0.1166</cdr:y>
    </cdr:from>
    <cdr:to>
      <cdr:x>0.36696</cdr:x>
      <cdr:y>0.19683</cdr:y>
    </cdr:to>
    <cdr:sp macro="" textlink="">
      <cdr:nvSpPr>
        <cdr:cNvPr id="3" name="Oval 2"/>
        <cdr:cNvSpPr/>
      </cdr:nvSpPr>
      <cdr:spPr>
        <a:xfrm xmlns:a="http://schemas.openxmlformats.org/drawingml/2006/main">
          <a:off x="2754923" y="732692"/>
          <a:ext cx="422031" cy="50409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0.83187</cdr:x>
      <cdr:y>0.39521</cdr:y>
    </cdr:from>
    <cdr:to>
      <cdr:x>0.90183</cdr:x>
      <cdr:y>0.4972</cdr:y>
    </cdr:to>
    <cdr:sp macro="" textlink="">
      <cdr:nvSpPr>
        <cdr:cNvPr id="4" name="Oval 3"/>
        <cdr:cNvSpPr/>
      </cdr:nvSpPr>
      <cdr:spPr>
        <a:xfrm xmlns:a="http://schemas.openxmlformats.org/drawingml/2006/main">
          <a:off x="7201877" y="2483339"/>
          <a:ext cx="605692" cy="640861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0.36764</cdr:x>
      <cdr:y>0.13433</cdr:y>
    </cdr:from>
    <cdr:to>
      <cdr:x>0.44821</cdr:x>
      <cdr:y>0.17724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182815" y="844062"/>
          <a:ext cx="697523" cy="2696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Cluster 1</a:t>
          </a:r>
        </a:p>
      </cdr:txBody>
    </cdr:sp>
  </cdr:relSizeAnchor>
  <cdr:relSizeAnchor xmlns:cdr="http://schemas.openxmlformats.org/drawingml/2006/chartDrawing">
    <cdr:from>
      <cdr:x>0.82645</cdr:x>
      <cdr:y>0.51088</cdr:y>
    </cdr:from>
    <cdr:to>
      <cdr:x>0.90702</cdr:x>
      <cdr:y>0.55379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7154985" y="3210170"/>
          <a:ext cx="697523" cy="2696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Cluster 2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7492" cy="628356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0.15369</cdr:x>
      <cdr:y>0.79571</cdr:y>
    </cdr:from>
    <cdr:to>
      <cdr:x>0.58768</cdr:x>
      <cdr:y>0.87687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0570" y="4999892"/>
          <a:ext cx="3757246" cy="509953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Comments: </a:t>
          </a:r>
        </a:p>
        <a:p xmlns:a="http://schemas.openxmlformats.org/drawingml/2006/main">
          <a:r>
            <a:rPr lang="en-US" sz="1100"/>
            <a:t>Similar upward</a:t>
          </a:r>
          <a:r>
            <a:rPr lang="en-US" sz="1100" baseline="0"/>
            <a:t> trend are observed for all four strategies.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K33"/>
  <sheetViews>
    <sheetView topLeftCell="B1" workbookViewId="0">
      <selection activeCell="K33" sqref="K33"/>
    </sheetView>
  </sheetViews>
  <sheetFormatPr defaultRowHeight="13.2" x14ac:dyDescent="0.25"/>
  <cols>
    <col min="2" max="2" width="21" customWidth="1"/>
    <col min="3" max="6" width="12.5546875" bestFit="1" customWidth="1"/>
    <col min="7" max="7" width="13.109375" bestFit="1" customWidth="1"/>
    <col min="8" max="10" width="12.44140625" bestFit="1" customWidth="1"/>
    <col min="11" max="11" width="9.33203125" bestFit="1" customWidth="1"/>
    <col min="14" max="14" width="20.5546875" bestFit="1" customWidth="1"/>
  </cols>
  <sheetData>
    <row r="1" spans="3:11" x14ac:dyDescent="0.25">
      <c r="C1" s="1">
        <v>0.9042</v>
      </c>
      <c r="D1" s="1">
        <v>8.9200000000000002E-2</v>
      </c>
      <c r="E1" s="1">
        <v>6.1999999999999998E-3</v>
      </c>
      <c r="F1" s="1">
        <v>1E-4</v>
      </c>
      <c r="G1" s="1">
        <v>2.9999999999999997E-4</v>
      </c>
      <c r="H1" s="1">
        <v>0</v>
      </c>
      <c r="I1" s="1">
        <v>0</v>
      </c>
      <c r="J1" s="1">
        <v>0</v>
      </c>
      <c r="K1" s="1">
        <v>0</v>
      </c>
    </row>
    <row r="2" spans="3:11" x14ac:dyDescent="0.25">
      <c r="C2" s="1">
        <v>1.0200000000000001E-2</v>
      </c>
      <c r="D2" s="1">
        <v>0.9012</v>
      </c>
      <c r="E2" s="1">
        <v>8.3799999999999999E-2</v>
      </c>
      <c r="F2" s="1">
        <v>3.8E-3</v>
      </c>
      <c r="G2" s="1">
        <v>5.0000000000000001E-4</v>
      </c>
      <c r="H2" s="1">
        <v>2.0000000000000001E-4</v>
      </c>
      <c r="I2" s="1">
        <v>1E-4</v>
      </c>
      <c r="J2" s="1">
        <v>0</v>
      </c>
      <c r="K2" s="1">
        <v>2.0000000000000001E-4</v>
      </c>
    </row>
    <row r="3" spans="3:11" x14ac:dyDescent="0.25">
      <c r="C3" s="1">
        <v>5.9999999999999995E-4</v>
      </c>
      <c r="D3" s="1">
        <v>2.8199999999999999E-2</v>
      </c>
      <c r="E3" s="1">
        <v>0.90880000000000005</v>
      </c>
      <c r="F3" s="1">
        <v>5.5199999999999999E-2</v>
      </c>
      <c r="G3" s="1">
        <v>5.1000000000000004E-3</v>
      </c>
      <c r="H3" s="1">
        <v>1.1000000000000001E-3</v>
      </c>
      <c r="I3" s="1">
        <v>2.9999999999999997E-4</v>
      </c>
      <c r="J3" s="1">
        <v>1E-4</v>
      </c>
      <c r="K3" s="1">
        <v>5.9999999999999995E-4</v>
      </c>
    </row>
    <row r="4" spans="3:11" x14ac:dyDescent="0.25">
      <c r="C4" s="1">
        <v>5.0000000000000001E-4</v>
      </c>
      <c r="D4" s="1">
        <v>1.9E-3</v>
      </c>
      <c r="E4" s="1">
        <v>4.7899999999999998E-2</v>
      </c>
      <c r="F4" s="1">
        <v>0.89410000000000001</v>
      </c>
      <c r="G4" s="1">
        <v>4.3499999999999997E-2</v>
      </c>
      <c r="H4" s="1">
        <v>8.2000000000000007E-3</v>
      </c>
      <c r="I4" s="1">
        <v>1.8E-3</v>
      </c>
      <c r="J4" s="1">
        <v>2.0000000000000001E-4</v>
      </c>
      <c r="K4" s="1">
        <v>1.9E-3</v>
      </c>
    </row>
    <row r="5" spans="3:11" x14ac:dyDescent="0.25">
      <c r="C5" s="1">
        <v>1E-4</v>
      </c>
      <c r="D5" s="1">
        <v>5.9999999999999995E-4</v>
      </c>
      <c r="E5" s="1">
        <v>4.1000000000000003E-3</v>
      </c>
      <c r="F5" s="1">
        <v>6.2199999999999998E-2</v>
      </c>
      <c r="G5" s="1">
        <v>0.83430000000000004</v>
      </c>
      <c r="H5" s="1">
        <v>7.9699999999999993E-2</v>
      </c>
      <c r="I5" s="1">
        <v>5.8999999999999999E-3</v>
      </c>
      <c r="J5" s="1">
        <v>8.9999999999999998E-4</v>
      </c>
      <c r="K5" s="1">
        <v>1.2200000000000001E-2</v>
      </c>
    </row>
    <row r="6" spans="3:11" x14ac:dyDescent="0.25">
      <c r="C6" s="1">
        <v>1E-4</v>
      </c>
      <c r="D6" s="1">
        <v>4.0000000000000002E-4</v>
      </c>
      <c r="E6" s="1">
        <v>1.4E-3</v>
      </c>
      <c r="F6" s="1">
        <v>3.8E-3</v>
      </c>
      <c r="G6" s="1">
        <v>5.3199999999999997E-2</v>
      </c>
      <c r="H6" s="1">
        <v>0.82189999999999996</v>
      </c>
      <c r="I6" s="1">
        <v>6.4500000000000002E-2</v>
      </c>
      <c r="J6" s="1">
        <v>7.4000000000000003E-3</v>
      </c>
      <c r="K6" s="1">
        <v>4.7300000000000002E-2</v>
      </c>
    </row>
    <row r="7" spans="3:11" x14ac:dyDescent="0.25">
      <c r="C7" s="1">
        <v>0</v>
      </c>
      <c r="D7" s="1">
        <v>2.0000000000000001E-4</v>
      </c>
      <c r="E7" s="1">
        <v>2.0000000000000001E-4</v>
      </c>
      <c r="F7" s="1">
        <v>1.6000000000000001E-3</v>
      </c>
      <c r="G7" s="1">
        <v>5.3E-3</v>
      </c>
      <c r="H7" s="1">
        <v>9.4100000000000003E-2</v>
      </c>
      <c r="I7" s="1">
        <v>0.68430000000000002</v>
      </c>
      <c r="J7" s="1">
        <v>4.6699999999999998E-2</v>
      </c>
      <c r="K7" s="1">
        <v>0.1676</v>
      </c>
    </row>
    <row r="8" spans="3:11" x14ac:dyDescent="0.25">
      <c r="C8" s="1">
        <v>0</v>
      </c>
      <c r="D8" s="1">
        <v>0</v>
      </c>
      <c r="E8" s="1">
        <v>0</v>
      </c>
      <c r="F8" s="1">
        <v>0</v>
      </c>
      <c r="G8" s="1">
        <v>3.8999999999999998E-3</v>
      </c>
      <c r="H8" s="1">
        <v>2.8500000000000001E-2</v>
      </c>
      <c r="I8" s="1">
        <v>0.1066</v>
      </c>
      <c r="J8" s="1">
        <v>0.43540000000000001</v>
      </c>
      <c r="K8" s="1">
        <v>0.42559999999999998</v>
      </c>
    </row>
    <row r="9" spans="3:11" x14ac:dyDescent="0.25"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1</v>
      </c>
    </row>
    <row r="10" spans="3:11" x14ac:dyDescent="0.25">
      <c r="C10" s="1"/>
      <c r="D10" s="1"/>
      <c r="E10" s="1"/>
      <c r="F10" s="1"/>
      <c r="G10" s="1"/>
      <c r="H10" s="1"/>
      <c r="I10" s="1"/>
      <c r="J10" s="1"/>
      <c r="K10" s="1"/>
    </row>
    <row r="11" spans="3:11" x14ac:dyDescent="0.25">
      <c r="C11" s="1"/>
      <c r="D11" s="1"/>
      <c r="E11" s="1"/>
      <c r="F11" s="1"/>
      <c r="G11" s="1"/>
      <c r="H11" s="1"/>
      <c r="I11" s="1"/>
      <c r="J11" s="1"/>
      <c r="K11" s="1"/>
    </row>
    <row r="12" spans="3:11" x14ac:dyDescent="0.25">
      <c r="C12" s="1"/>
      <c r="D12" s="1"/>
      <c r="E12" s="1"/>
      <c r="F12" s="1"/>
      <c r="G12" s="1"/>
      <c r="H12" s="1"/>
      <c r="I12" s="1"/>
      <c r="J12" s="1"/>
      <c r="K12" s="1"/>
    </row>
    <row r="13" spans="3:11" x14ac:dyDescent="0.25">
      <c r="C13" s="1">
        <f t="array" ref="C13:K21">eigenvalue(C1:K9)</f>
        <v>0.98774605847514851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3:11" x14ac:dyDescent="0.25">
      <c r="C14" s="1">
        <v>0</v>
      </c>
      <c r="D14" s="1">
        <v>0.9361086619432375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</row>
    <row r="15" spans="3:11" x14ac:dyDescent="0.25">
      <c r="C15" s="1">
        <v>0</v>
      </c>
      <c r="D15" s="1">
        <v>0</v>
      </c>
      <c r="E15" s="1">
        <v>0.90445998963810992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</row>
    <row r="16" spans="3:11" x14ac:dyDescent="0.25">
      <c r="C16" s="1">
        <v>0</v>
      </c>
      <c r="D16" s="1">
        <v>0</v>
      </c>
      <c r="E16" s="1">
        <v>0</v>
      </c>
      <c r="F16" s="1">
        <v>0.87204244794957386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3:11" x14ac:dyDescent="0.25">
      <c r="C17" s="1">
        <v>0</v>
      </c>
      <c r="D17" s="1">
        <v>0</v>
      </c>
      <c r="E17" s="1">
        <v>0</v>
      </c>
      <c r="F17" s="1">
        <v>0</v>
      </c>
      <c r="G17" s="1">
        <v>0.65969004999393377</v>
      </c>
      <c r="H17" s="1">
        <v>0</v>
      </c>
      <c r="I17" s="1">
        <v>0</v>
      </c>
      <c r="J17" s="1">
        <v>0</v>
      </c>
      <c r="K17" s="1">
        <v>0</v>
      </c>
    </row>
    <row r="18" spans="3:11" x14ac:dyDescent="0.25"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0.8329362021677098</v>
      </c>
      <c r="I18" s="1">
        <v>0</v>
      </c>
      <c r="J18" s="1">
        <v>0</v>
      </c>
      <c r="K18" s="1">
        <v>0</v>
      </c>
    </row>
    <row r="19" spans="3:11" x14ac:dyDescent="0.25"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0.41670106723766642</v>
      </c>
      <c r="J19" s="1">
        <v>0</v>
      </c>
      <c r="K19" s="1">
        <v>0</v>
      </c>
    </row>
    <row r="20" spans="3:11" x14ac:dyDescent="0.25"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0.77451552259461953</v>
      </c>
      <c r="K20" s="1">
        <v>0</v>
      </c>
    </row>
    <row r="21" spans="3:11" x14ac:dyDescent="0.25"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1</v>
      </c>
    </row>
    <row r="22" spans="3:11" x14ac:dyDescent="0.25">
      <c r="C22" s="1"/>
      <c r="D22" s="1"/>
      <c r="E22" s="1"/>
      <c r="F22" s="1"/>
      <c r="G22" s="1"/>
      <c r="H22" s="1"/>
      <c r="I22" s="1"/>
      <c r="J22" s="1"/>
      <c r="K22" s="1"/>
    </row>
    <row r="23" spans="3:11" x14ac:dyDescent="0.25">
      <c r="C23" s="1"/>
      <c r="D23" s="1"/>
      <c r="E23" s="1"/>
      <c r="F23" s="1"/>
      <c r="G23" s="1"/>
      <c r="H23" s="1"/>
      <c r="I23" s="1"/>
      <c r="J23" s="1"/>
      <c r="K23" s="1"/>
    </row>
    <row r="24" spans="3:11" x14ac:dyDescent="0.25">
      <c r="C24" s="1"/>
      <c r="D24" s="1"/>
      <c r="E24" s="1"/>
      <c r="F24" s="1"/>
      <c r="G24" s="1"/>
      <c r="H24" s="1"/>
      <c r="I24" s="1"/>
      <c r="J24" s="1"/>
      <c r="K24" s="1"/>
    </row>
    <row r="25" spans="3:11" x14ac:dyDescent="0.25">
      <c r="C25" s="1">
        <f t="array" ref="C25:K33">eigenvector(C1:K9)</f>
        <v>0.5918262462959657</v>
      </c>
      <c r="D25" s="1">
        <v>0.91034194176666505</v>
      </c>
      <c r="E25" s="1">
        <v>-0.98191998791189428</v>
      </c>
      <c r="F25" s="1">
        <v>0.91265037477309086</v>
      </c>
      <c r="G25" s="1">
        <v>6.4167229890036367E-5</v>
      </c>
      <c r="H25" s="1">
        <v>0.66064019235613225</v>
      </c>
      <c r="I25" s="1">
        <v>-7.3395984882131868E-6</v>
      </c>
      <c r="J25" s="1">
        <v>-4.1955533235413053E-2</v>
      </c>
      <c r="K25" s="1">
        <v>0.33333333333333376</v>
      </c>
    </row>
    <row r="26" spans="3:11" x14ac:dyDescent="0.25">
      <c r="C26" s="1">
        <v>0.52196897769095552</v>
      </c>
      <c r="D26" s="1">
        <v>0.32416408606205493</v>
      </c>
      <c r="E26" s="1">
        <v>-1.0845054881877706E-2</v>
      </c>
      <c r="F26" s="1">
        <v>-0.32880293780094505</v>
      </c>
      <c r="G26" s="1">
        <v>-8.6535829624100134E-4</v>
      </c>
      <c r="H26" s="1">
        <v>-0.55373582021523737</v>
      </c>
      <c r="I26" s="1">
        <v>5.4207221883075957E-5</v>
      </c>
      <c r="J26" s="1">
        <v>7.1139474506313333E-2</v>
      </c>
      <c r="K26" s="1">
        <v>0.3333333333333337</v>
      </c>
    </row>
    <row r="27" spans="3:11" x14ac:dyDescent="0.25">
      <c r="C27" s="1">
        <v>0.44971301069367836</v>
      </c>
      <c r="D27" s="1">
        <v>3.1991491217243331E-2</v>
      </c>
      <c r="E27" s="1">
        <v>0.11914303019202176</v>
      </c>
      <c r="F27" s="1">
        <v>-3.5851488381769448E-3</v>
      </c>
      <c r="G27" s="1">
        <v>2.5309959098396453E-3</v>
      </c>
      <c r="H27" s="1">
        <v>0.38177536956323554</v>
      </c>
      <c r="I27" s="1">
        <v>-1.2847437289569729E-4</v>
      </c>
      <c r="J27" s="1">
        <v>-0.11267566297644364</v>
      </c>
      <c r="K27" s="1">
        <v>0.3333333333333337</v>
      </c>
    </row>
    <row r="28" spans="3:11" x14ac:dyDescent="0.25">
      <c r="C28" s="1">
        <v>0.34886173109007368</v>
      </c>
      <c r="D28" s="1">
        <v>-0.14116243758486105</v>
      </c>
      <c r="E28" s="1">
        <v>1.7836484915693923E-2</v>
      </c>
      <c r="F28" s="1">
        <v>0.16813306651807022</v>
      </c>
      <c r="G28" s="1">
        <v>-2.3000061408779301E-2</v>
      </c>
      <c r="H28" s="1">
        <v>-0.24403736264917922</v>
      </c>
      <c r="I28" s="1">
        <v>2.3419797740652454E-4</v>
      </c>
      <c r="J28" s="1">
        <v>0.30210323886981538</v>
      </c>
      <c r="K28" s="1">
        <v>0.33333333333333354</v>
      </c>
    </row>
    <row r="29" spans="3:11" x14ac:dyDescent="0.25">
      <c r="C29" s="1">
        <v>0.2067017690899817</v>
      </c>
      <c r="D29" s="1">
        <v>-0.17291401980092747</v>
      </c>
      <c r="E29" s="1">
        <v>-9.4601875095818272E-2</v>
      </c>
      <c r="F29" s="1">
        <v>-4.6550875391110982E-2</v>
      </c>
      <c r="G29" s="1">
        <v>0.16036088450709635</v>
      </c>
      <c r="H29" s="1">
        <v>-9.6991665933389384E-2</v>
      </c>
      <c r="I29" s="1">
        <v>-1.61372149283246E-3</v>
      </c>
      <c r="J29" s="1">
        <v>-0.78760312499187823</v>
      </c>
      <c r="K29" s="1">
        <v>0.33333333333333337</v>
      </c>
    </row>
    <row r="30" spans="3:11" x14ac:dyDescent="0.25">
      <c r="C30" s="1">
        <v>9.4954751070079987E-2</v>
      </c>
      <c r="D30" s="1">
        <v>-0.11206926467170773</v>
      </c>
      <c r="E30" s="1">
        <v>-9.8276717391591523E-2</v>
      </c>
      <c r="F30" s="1">
        <v>-0.14545291062617119</v>
      </c>
      <c r="G30" s="1">
        <v>-0.39907385482102614</v>
      </c>
      <c r="H30" s="1">
        <v>0.16703073085482989</v>
      </c>
      <c r="I30" s="1">
        <v>1.014177474529492E-2</v>
      </c>
      <c r="J30" s="1">
        <v>0.33103505292769497</v>
      </c>
      <c r="K30" s="1">
        <v>0.33333333333333304</v>
      </c>
    </row>
    <row r="31" spans="3:11" x14ac:dyDescent="0.25">
      <c r="C31" s="1">
        <v>3.7632442042357439E-2</v>
      </c>
      <c r="D31" s="1">
        <v>-4.9521498886864829E-2</v>
      </c>
      <c r="E31" s="1">
        <v>-4.7791815831653331E-2</v>
      </c>
      <c r="F31" s="1">
        <v>-8.0492097301163912E-2</v>
      </c>
      <c r="G31" s="1">
        <v>0.83275237937076729</v>
      </c>
      <c r="H31" s="1">
        <v>0.11235817100700743</v>
      </c>
      <c r="I31" s="1">
        <v>-0.17533771313909663</v>
      </c>
      <c r="J31" s="1">
        <v>0.37502089906596947</v>
      </c>
      <c r="K31" s="1">
        <v>0.33333333333333304</v>
      </c>
    </row>
    <row r="32" spans="3:11" x14ac:dyDescent="0.25">
      <c r="C32" s="1">
        <v>1.3621832746367E-2</v>
      </c>
      <c r="D32" s="1">
        <v>-1.8268768241808543E-2</v>
      </c>
      <c r="E32" s="1">
        <v>-1.7619156416569432E-2</v>
      </c>
      <c r="F32" s="1">
        <v>-2.9560602730648648E-2</v>
      </c>
      <c r="G32" s="1">
        <v>0.34786744320674284</v>
      </c>
      <c r="H32" s="1">
        <v>4.1152200157780233E-2</v>
      </c>
      <c r="I32" s="1">
        <v>0.98445474873782879</v>
      </c>
      <c r="J32" s="1">
        <v>0.13664981864247633</v>
      </c>
      <c r="K32" s="1">
        <v>0.33333333333333287</v>
      </c>
    </row>
    <row r="33" spans="3:11" x14ac:dyDescent="0.25">
      <c r="C33" s="1">
        <v>5.2896828708627849E-40</v>
      </c>
      <c r="D33" s="1">
        <v>7.5818943320753127E-42</v>
      </c>
      <c r="E33" s="1">
        <v>9.1763608070243062E-48</v>
      </c>
      <c r="F33" s="1">
        <v>1.1163041323464772E-46</v>
      </c>
      <c r="G33" s="1">
        <v>6.2858287729468472E-47</v>
      </c>
      <c r="H33" s="1">
        <v>7.4498161987496835E-44</v>
      </c>
      <c r="I33" s="1">
        <v>4.2214153719047918E-47</v>
      </c>
      <c r="J33" s="1">
        <v>2.369794451037203E-47</v>
      </c>
      <c r="K33" s="1">
        <v>0.33333333333333287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259"/>
  <sheetViews>
    <sheetView tabSelected="1" zoomScaleNormal="100" workbookViewId="0"/>
  </sheetViews>
  <sheetFormatPr defaultColWidth="9" defaultRowHeight="13.8" x14ac:dyDescent="0.25"/>
  <cols>
    <col min="1" max="1" width="10.44140625" style="3" bestFit="1" customWidth="1"/>
    <col min="2" max="11" width="9" style="3"/>
    <col min="12" max="12" width="9.5546875" style="3" bestFit="1" customWidth="1"/>
    <col min="13" max="36" width="9" style="3"/>
    <col min="37" max="37" width="9" style="8"/>
    <col min="38" max="48" width="9" style="3"/>
    <col min="49" max="50" width="9" style="5"/>
    <col min="51" max="52" width="10.44140625" style="3" bestFit="1" customWidth="1"/>
    <col min="53" max="58" width="9" style="3"/>
    <col min="59" max="59" width="9" style="3" customWidth="1"/>
    <col min="60" max="16384" width="9" style="3"/>
  </cols>
  <sheetData>
    <row r="1" spans="1:62" x14ac:dyDescent="0.25">
      <c r="A1" s="3" t="s">
        <v>0</v>
      </c>
      <c r="N1" s="3" t="s">
        <v>1</v>
      </c>
      <c r="Z1" s="3" t="s">
        <v>26</v>
      </c>
      <c r="AK1" s="3"/>
      <c r="AL1" s="10" t="s">
        <v>23</v>
      </c>
      <c r="AM1" s="2"/>
      <c r="AN1" s="2"/>
      <c r="AO1" s="2"/>
      <c r="AP1" s="2"/>
      <c r="AQ1" s="2"/>
      <c r="AR1" s="2"/>
      <c r="AS1" s="2"/>
      <c r="AT1" s="2"/>
      <c r="AU1" s="2"/>
      <c r="AV1" s="2"/>
      <c r="AW1" s="3"/>
      <c r="AY1" s="5"/>
      <c r="AZ1" s="5"/>
      <c r="BA1" s="5"/>
      <c r="BB1" s="2" t="s">
        <v>2</v>
      </c>
      <c r="BC1" s="12" t="s">
        <v>3</v>
      </c>
      <c r="BD1" s="14" t="s">
        <v>15</v>
      </c>
      <c r="BE1" s="17" t="s">
        <v>32</v>
      </c>
    </row>
    <row r="2" spans="1:62" x14ac:dyDescent="0.25">
      <c r="A2" s="6" t="s">
        <v>4</v>
      </c>
      <c r="B2" s="6" t="s">
        <v>33</v>
      </c>
      <c r="C2" s="6" t="s">
        <v>34</v>
      </c>
      <c r="D2" s="6" t="s">
        <v>35</v>
      </c>
      <c r="E2" s="6" t="s">
        <v>36</v>
      </c>
      <c r="F2" s="6" t="s">
        <v>37</v>
      </c>
      <c r="G2" s="6" t="s">
        <v>38</v>
      </c>
      <c r="H2" s="6" t="s">
        <v>39</v>
      </c>
      <c r="I2" s="6" t="s">
        <v>40</v>
      </c>
      <c r="J2" s="6" t="s">
        <v>41</v>
      </c>
      <c r="K2" s="6" t="s">
        <v>42</v>
      </c>
      <c r="L2" s="6" t="s">
        <v>43</v>
      </c>
      <c r="N2" s="6" t="s">
        <v>33</v>
      </c>
      <c r="O2" s="6" t="s">
        <v>34</v>
      </c>
      <c r="P2" s="6" t="s">
        <v>35</v>
      </c>
      <c r="Q2" s="6" t="s">
        <v>36</v>
      </c>
      <c r="R2" s="6" t="s">
        <v>37</v>
      </c>
      <c r="S2" s="6" t="s">
        <v>38</v>
      </c>
      <c r="T2" s="6" t="s">
        <v>39</v>
      </c>
      <c r="U2" s="6" t="s">
        <v>40</v>
      </c>
      <c r="V2" s="6" t="s">
        <v>41</v>
      </c>
      <c r="W2" s="6" t="s">
        <v>42</v>
      </c>
      <c r="X2" s="6" t="s">
        <v>43</v>
      </c>
      <c r="Z2" s="6"/>
      <c r="AA2" s="6">
        <v>1</v>
      </c>
      <c r="AB2" s="6">
        <v>2</v>
      </c>
      <c r="AC2" s="6">
        <v>3</v>
      </c>
      <c r="AD2" s="6">
        <v>4</v>
      </c>
      <c r="AE2" s="6">
        <v>5</v>
      </c>
      <c r="AF2" s="6">
        <v>6</v>
      </c>
      <c r="AG2" s="6">
        <v>7</v>
      </c>
      <c r="AH2" s="6">
        <v>8</v>
      </c>
      <c r="AI2" s="6">
        <v>9</v>
      </c>
      <c r="AJ2" s="6">
        <v>10</v>
      </c>
      <c r="AK2" s="3"/>
      <c r="AL2" s="10"/>
      <c r="AM2" s="2" t="s">
        <v>33</v>
      </c>
      <c r="AN2" s="2" t="s">
        <v>34</v>
      </c>
      <c r="AO2" s="2" t="s">
        <v>35</v>
      </c>
      <c r="AP2" s="2" t="s">
        <v>36</v>
      </c>
      <c r="AQ2" s="2" t="s">
        <v>37</v>
      </c>
      <c r="AR2" s="2" t="s">
        <v>38</v>
      </c>
      <c r="AS2" s="2" t="s">
        <v>39</v>
      </c>
      <c r="AT2" s="2" t="s">
        <v>40</v>
      </c>
      <c r="AU2" s="2" t="s">
        <v>41</v>
      </c>
      <c r="AV2" s="2" t="s">
        <v>42</v>
      </c>
      <c r="AW2" s="3"/>
      <c r="AY2" s="5"/>
      <c r="AZ2" s="5"/>
      <c r="BA2" s="5" t="s">
        <v>6</v>
      </c>
      <c r="BB2" s="2">
        <f>BB256/BB5</f>
        <v>1.6443026140470738</v>
      </c>
      <c r="BC2" s="12">
        <f>BC256/BC5</f>
        <v>1.5484774512992989</v>
      </c>
      <c r="BD2" s="14">
        <f>BD256/BD5</f>
        <v>1.6426359633291445</v>
      </c>
      <c r="BE2" s="17">
        <f>BE256/BE5</f>
        <v>1.6672633091199534</v>
      </c>
      <c r="BG2" s="4" t="s">
        <v>1</v>
      </c>
    </row>
    <row r="3" spans="1:62" x14ac:dyDescent="0.3">
      <c r="A3" s="27">
        <v>44155</v>
      </c>
      <c r="B3" s="3">
        <v>208.64109802246</v>
      </c>
      <c r="C3" s="3">
        <v>116.621055603027</v>
      </c>
      <c r="D3" s="3">
        <v>3099.39990234375</v>
      </c>
      <c r="E3" s="3">
        <v>1736.38000488281</v>
      </c>
      <c r="F3" s="3">
        <v>489.60998535156199</v>
      </c>
      <c r="G3" s="3">
        <v>1742.18994140625</v>
      </c>
      <c r="H3" s="3">
        <v>269.70001220703102</v>
      </c>
      <c r="I3" s="3">
        <v>130.72467041015599</v>
      </c>
      <c r="J3" s="3">
        <v>227.009994506835</v>
      </c>
      <c r="K3" s="3">
        <v>111.763366699218</v>
      </c>
      <c r="L3" s="3">
        <v>3557.5400390625</v>
      </c>
      <c r="N3" s="3">
        <f>LN(B4)-LN(B3)</f>
        <v>-1.3317084318789085E-3</v>
      </c>
      <c r="O3" s="3">
        <f t="shared" ref="O3:X18" si="0">LN(C4)-LN(C3)</f>
        <v>-3.0194010195965681E-2</v>
      </c>
      <c r="P3" s="3">
        <f t="shared" si="0"/>
        <v>-3.2592579225543261E-4</v>
      </c>
      <c r="Q3" s="3">
        <f t="shared" si="0"/>
        <v>-5.0924468599777839E-3</v>
      </c>
      <c r="R3" s="3">
        <f t="shared" si="0"/>
        <v>6.377101757483139E-2</v>
      </c>
      <c r="S3" s="3">
        <f t="shared" si="0"/>
        <v>-4.216198827971418E-3</v>
      </c>
      <c r="T3" s="3">
        <f t="shared" si="0"/>
        <v>-4.720130368829345E-3</v>
      </c>
      <c r="U3" s="3">
        <f t="shared" si="0"/>
        <v>3.9843843801774526E-3</v>
      </c>
      <c r="V3" s="3">
        <f t="shared" si="0"/>
        <v>1.1083231826652273E-2</v>
      </c>
      <c r="W3" s="3">
        <f t="shared" si="0"/>
        <v>2.8396353494904325E-2</v>
      </c>
      <c r="X3" s="3">
        <f t="shared" si="0"/>
        <v>5.620108181849659E-3</v>
      </c>
      <c r="Z3" s="6">
        <v>1</v>
      </c>
      <c r="AA3" s="3">
        <f>CORREL(INDEX($N$3:$W$253,0,AA$2),INDEX($N$3:$W$253,0,$Z3))</f>
        <v>1</v>
      </c>
      <c r="AB3" s="3">
        <f t="shared" ref="AB3:AJ3" si="1">CORREL(INDEX($N$3:$W$253,0,AB$2),INDEX($N$3:$W$253,0,$Z3))</f>
        <v>0.6385818841637364</v>
      </c>
      <c r="AC3" s="3">
        <f t="shared" si="1"/>
        <v>0.57212075453680766</v>
      </c>
      <c r="AD3" s="3">
        <f t="shared" si="1"/>
        <v>0.70094834959586982</v>
      </c>
      <c r="AE3" s="3">
        <f t="shared" si="1"/>
        <v>0.31408438139271921</v>
      </c>
      <c r="AF3" s="3">
        <f t="shared" si="1"/>
        <v>0.68952738879614472</v>
      </c>
      <c r="AG3" s="3">
        <f t="shared" si="1"/>
        <v>0.49071930118660939</v>
      </c>
      <c r="AH3" s="3">
        <f t="shared" si="1"/>
        <v>0.53999243124135088</v>
      </c>
      <c r="AI3" s="3">
        <f t="shared" si="1"/>
        <v>0.1915802854247402</v>
      </c>
      <c r="AJ3" s="3">
        <f t="shared" si="1"/>
        <v>6.1729893390954629E-3</v>
      </c>
      <c r="AK3" s="3"/>
      <c r="AL3" s="9" t="s">
        <v>9</v>
      </c>
      <c r="AM3" s="5" t="s">
        <v>17</v>
      </c>
      <c r="AN3" s="5" t="s">
        <v>17</v>
      </c>
      <c r="AO3" s="5" t="s">
        <v>17</v>
      </c>
      <c r="AP3" s="5" t="s">
        <v>17</v>
      </c>
      <c r="AQ3" s="5" t="s">
        <v>17</v>
      </c>
      <c r="AR3" s="5" t="s">
        <v>17</v>
      </c>
      <c r="AS3" s="5" t="s">
        <v>17</v>
      </c>
      <c r="AT3" s="5" t="s">
        <v>17</v>
      </c>
      <c r="AU3" s="5" t="s">
        <v>17</v>
      </c>
      <c r="AV3" s="5" t="s">
        <v>17</v>
      </c>
      <c r="AY3" s="5"/>
      <c r="AZ3" s="5"/>
      <c r="BA3" s="5" t="s">
        <v>8</v>
      </c>
      <c r="BB3" s="2">
        <f>STDEV(BB5:BB256)/AVERAGE(BB5:BB256)</f>
        <v>0.12059436887171246</v>
      </c>
      <c r="BC3" s="12">
        <f>STDEV(BC5:BC256)/AVERAGE(BC5:BC256)</f>
        <v>0.11343883604875418</v>
      </c>
      <c r="BD3" s="15">
        <f>STDEV(BD5:BD256)/AVERAGE(BD5:BD256)</f>
        <v>0.11136552576615609</v>
      </c>
      <c r="BE3" s="17">
        <f>STDEV(BE5:BE256)/AVERAGE(BE5:BE256)</f>
        <v>0.10923731248483558</v>
      </c>
      <c r="BG3" s="2" t="s">
        <v>2</v>
      </c>
      <c r="BH3" s="12" t="s">
        <v>3</v>
      </c>
      <c r="BI3" s="14" t="s">
        <v>15</v>
      </c>
      <c r="BJ3" s="17" t="s">
        <v>32</v>
      </c>
    </row>
    <row r="4" spans="1:62" x14ac:dyDescent="0.3">
      <c r="A4" s="27">
        <v>44158</v>
      </c>
      <c r="B4" s="3">
        <v>208.36343383789</v>
      </c>
      <c r="C4" s="3">
        <v>113.15242767333901</v>
      </c>
      <c r="D4" s="3">
        <v>3098.38989257812</v>
      </c>
      <c r="E4" s="3">
        <v>1727.56005859375</v>
      </c>
      <c r="F4" s="3">
        <v>521.84997558593705</v>
      </c>
      <c r="G4" s="3">
        <v>1734.85998535156</v>
      </c>
      <c r="H4" s="3">
        <v>268.42999267578102</v>
      </c>
      <c r="I4" s="3">
        <v>131.24656677246</v>
      </c>
      <c r="J4" s="3">
        <v>229.53999328613199</v>
      </c>
      <c r="K4" s="3">
        <v>114.982528686523</v>
      </c>
      <c r="L4" s="3">
        <v>3577.59008789062</v>
      </c>
      <c r="N4" s="3">
        <f t="shared" ref="N4:N67" si="2">LN(B5)-LN(B4)</f>
        <v>1.769045779562628E-2</v>
      </c>
      <c r="O4" s="3">
        <f t="shared" si="0"/>
        <v>1.1527574722051348E-2</v>
      </c>
      <c r="P4" s="3">
        <f t="shared" si="0"/>
        <v>6.3284452759972964E-3</v>
      </c>
      <c r="Q4" s="3">
        <f t="shared" si="0"/>
        <v>2.0817238230587343E-2</v>
      </c>
      <c r="R4" s="3">
        <f t="shared" si="0"/>
        <v>6.2272429450956679E-2</v>
      </c>
      <c r="S4" s="3">
        <f t="shared" si="0"/>
        <v>1.9419870645320358E-2</v>
      </c>
      <c r="T4" s="3">
        <f t="shared" si="0"/>
        <v>3.1138559261031595E-2</v>
      </c>
      <c r="U4" s="3">
        <f t="shared" si="0"/>
        <v>-1.3966843037185761E-2</v>
      </c>
      <c r="V4" s="3">
        <f t="shared" si="0"/>
        <v>1.8901891730423337E-2</v>
      </c>
      <c r="W4" s="3">
        <f t="shared" si="0"/>
        <v>4.520027481247002E-2</v>
      </c>
      <c r="X4" s="3">
        <f t="shared" si="0"/>
        <v>1.6032458814031258E-2</v>
      </c>
      <c r="Z4" s="6">
        <v>2</v>
      </c>
      <c r="AA4" s="3">
        <f t="shared" ref="AA4:AJ12" si="3">CORREL(INDEX($N$3:$W$253,0,AA$2),INDEX($N$3:$W$253,0,$Z4))</f>
        <v>0.6385818841637364</v>
      </c>
      <c r="AB4" s="3">
        <f t="shared" si="3"/>
        <v>1</v>
      </c>
      <c r="AC4" s="3">
        <f t="shared" si="3"/>
        <v>0.58148742009711862</v>
      </c>
      <c r="AD4" s="3">
        <f t="shared" si="3"/>
        <v>0.53470677510781839</v>
      </c>
      <c r="AE4" s="3">
        <f t="shared" si="3"/>
        <v>0.35290654570398677</v>
      </c>
      <c r="AF4" s="3">
        <f t="shared" si="3"/>
        <v>0.52698920706299379</v>
      </c>
      <c r="AG4" s="3">
        <f t="shared" si="3"/>
        <v>0.5049612519149651</v>
      </c>
      <c r="AH4" s="3">
        <f t="shared" si="3"/>
        <v>0.46898610645747618</v>
      </c>
      <c r="AI4" s="3">
        <f t="shared" si="3"/>
        <v>0.20493402146730699</v>
      </c>
      <c r="AJ4" s="3">
        <f t="shared" si="3"/>
        <v>6.1408724833525177E-2</v>
      </c>
      <c r="AK4" s="3"/>
      <c r="AL4" s="8" t="s">
        <v>7</v>
      </c>
      <c r="AM4" s="3">
        <f>B3</f>
        <v>208.64109802246</v>
      </c>
      <c r="AN4" s="3">
        <f t="shared" ref="AN4:AV4" si="4">C3</f>
        <v>116.621055603027</v>
      </c>
      <c r="AO4" s="3">
        <f t="shared" si="4"/>
        <v>3099.39990234375</v>
      </c>
      <c r="AP4" s="3">
        <f t="shared" si="4"/>
        <v>1736.38000488281</v>
      </c>
      <c r="AQ4" s="3">
        <f t="shared" si="4"/>
        <v>489.60998535156199</v>
      </c>
      <c r="AR4" s="3">
        <f t="shared" si="4"/>
        <v>1742.18994140625</v>
      </c>
      <c r="AS4" s="3">
        <f t="shared" si="4"/>
        <v>269.70001220703102</v>
      </c>
      <c r="AT4" s="3">
        <f t="shared" si="4"/>
        <v>130.72467041015599</v>
      </c>
      <c r="AU4" s="3">
        <f t="shared" si="4"/>
        <v>227.009994506835</v>
      </c>
      <c r="AV4" s="3">
        <f t="shared" si="4"/>
        <v>111.763366699218</v>
      </c>
      <c r="AW4" s="3"/>
      <c r="AY4" s="5"/>
      <c r="AZ4" s="5"/>
      <c r="BA4" s="5" t="s">
        <v>28</v>
      </c>
      <c r="BB4" s="2">
        <f>MIN(BB5:BB256)/BB5</f>
        <v>1</v>
      </c>
      <c r="BC4" s="12">
        <f>MIN(BC5:BC256)/BC5</f>
        <v>1</v>
      </c>
      <c r="BD4" s="14">
        <f>MIN(BD5:BD256)/BD5</f>
        <v>1</v>
      </c>
      <c r="BE4" s="17">
        <f>MIN(BE5:BE256)/BE5</f>
        <v>1</v>
      </c>
      <c r="BF4" s="3" t="s">
        <v>44</v>
      </c>
      <c r="BG4" s="2">
        <f>_xlfn.COVARIANCE.P($X$3:$X$253,BG$5:BG$255)/VAR($X$3:$X$253)</f>
        <v>1.2814142141943881</v>
      </c>
      <c r="BH4" s="12">
        <f t="shared" ref="BH4:BJ4" si="5">_xlfn.COVARIANCE.P($X$3:$X$253,BH$5:BH$255)/VAR($X$3:$X$253)</f>
        <v>1.182899800712701</v>
      </c>
      <c r="BI4" s="14">
        <f t="shared" si="5"/>
        <v>1.2002904320014864</v>
      </c>
      <c r="BJ4" s="17">
        <f t="shared" si="5"/>
        <v>1.1605773810015987</v>
      </c>
    </row>
    <row r="5" spans="1:62" x14ac:dyDescent="0.3">
      <c r="A5" s="27">
        <v>44159</v>
      </c>
      <c r="B5" s="3">
        <v>212.082275390625</v>
      </c>
      <c r="C5" s="3">
        <v>114.464347839355</v>
      </c>
      <c r="D5" s="3">
        <v>3118.06005859375</v>
      </c>
      <c r="E5" s="3">
        <v>1763.90002441406</v>
      </c>
      <c r="F5" s="3">
        <v>555.38000488281205</v>
      </c>
      <c r="G5" s="3">
        <v>1768.88000488281</v>
      </c>
      <c r="H5" s="3">
        <v>276.92001342773398</v>
      </c>
      <c r="I5" s="3">
        <v>129.42620849609301</v>
      </c>
      <c r="J5" s="3">
        <v>233.919998168945</v>
      </c>
      <c r="K5" s="3">
        <v>120.299018859863</v>
      </c>
      <c r="L5" s="3">
        <v>3635.40991210937</v>
      </c>
      <c r="N5" s="3">
        <f t="shared" si="2"/>
        <v>4.6692836004780247E-5</v>
      </c>
      <c r="O5" s="3">
        <f t="shared" si="0"/>
        <v>7.4395291504281147E-3</v>
      </c>
      <c r="P5" s="3">
        <f t="shared" si="0"/>
        <v>2.1263255920304758E-2</v>
      </c>
      <c r="Q5" s="3">
        <f t="shared" si="0"/>
        <v>1.3037330587639673E-4</v>
      </c>
      <c r="R5" s="3">
        <f t="shared" si="0"/>
        <v>3.2976823386229981E-2</v>
      </c>
      <c r="S5" s="3">
        <f t="shared" si="0"/>
        <v>1.4405796254672865E-3</v>
      </c>
      <c r="T5" s="3">
        <f t="shared" si="0"/>
        <v>-4.8144635766966815E-3</v>
      </c>
      <c r="U5" s="3">
        <f t="shared" si="0"/>
        <v>2.1151793203656233E-2</v>
      </c>
      <c r="V5" s="3">
        <f t="shared" si="0"/>
        <v>-3.3829098998676699E-3</v>
      </c>
      <c r="W5" s="3">
        <f t="shared" si="0"/>
        <v>-1.0515697034539251E-2</v>
      </c>
      <c r="X5" s="3">
        <f t="shared" si="0"/>
        <v>-1.585674755508748E-3</v>
      </c>
      <c r="Z5" s="6">
        <v>3</v>
      </c>
      <c r="AA5" s="3">
        <f t="shared" si="3"/>
        <v>0.57212075453680766</v>
      </c>
      <c r="AB5" s="3">
        <f t="shared" si="3"/>
        <v>0.58148742009711862</v>
      </c>
      <c r="AC5" s="3">
        <f t="shared" si="3"/>
        <v>1</v>
      </c>
      <c r="AD5" s="3">
        <f t="shared" si="3"/>
        <v>0.56360189505049318</v>
      </c>
      <c r="AE5" s="3">
        <f t="shared" si="3"/>
        <v>0.27629737560742246</v>
      </c>
      <c r="AF5" s="3">
        <f t="shared" si="3"/>
        <v>0.56080517018707721</v>
      </c>
      <c r="AG5" s="3">
        <f t="shared" si="3"/>
        <v>0.49867452773879434</v>
      </c>
      <c r="AH5" s="3">
        <f t="shared" si="3"/>
        <v>0.50185942795733629</v>
      </c>
      <c r="AI5" s="3">
        <f t="shared" si="3"/>
        <v>7.4996834961083336E-2</v>
      </c>
      <c r="AJ5" s="3">
        <f t="shared" si="3"/>
        <v>-9.558658236139583E-3</v>
      </c>
      <c r="AK5" s="3"/>
      <c r="AL5" s="8" t="s">
        <v>16</v>
      </c>
      <c r="AM5" s="3">
        <f>AM3/AM4</f>
        <v>4.7929195612858165E-4</v>
      </c>
      <c r="AN5" s="3">
        <f t="shared" ref="AN5:AV5" si="6">AN3/AN4</f>
        <v>8.5747808989480986E-4</v>
      </c>
      <c r="AO5" s="3">
        <f t="shared" si="6"/>
        <v>3.2264310237727158E-5</v>
      </c>
      <c r="AP5" s="3">
        <f t="shared" si="6"/>
        <v>5.7591080131534401E-5</v>
      </c>
      <c r="AQ5" s="3">
        <f t="shared" si="6"/>
        <v>2.0424420046947266E-4</v>
      </c>
      <c r="AR5" s="3">
        <f t="shared" si="6"/>
        <v>5.7399022703163253E-5</v>
      </c>
      <c r="AS5" s="3">
        <f t="shared" si="6"/>
        <v>3.7078233397793309E-4</v>
      </c>
      <c r="AT5" s="3">
        <f t="shared" si="6"/>
        <v>7.6496654905492886E-4</v>
      </c>
      <c r="AU5" s="3">
        <f t="shared" si="6"/>
        <v>4.4050923932773862E-4</v>
      </c>
      <c r="AV5" s="3">
        <f t="shared" si="6"/>
        <v>8.9474756311810086E-4</v>
      </c>
      <c r="AW5" s="3"/>
      <c r="AY5" s="5"/>
      <c r="AZ5" s="28">
        <f>A3</f>
        <v>44155</v>
      </c>
      <c r="BA5" s="3">
        <v>0</v>
      </c>
      <c r="BB5" s="3">
        <f>SUMPRODUCT($AM$5:$AV$5,B3:K3)</f>
        <v>0.99999999999999989</v>
      </c>
      <c r="BC5" s="3">
        <f>SUMPRODUCT($AM$13:$AV$13,B3:K3)</f>
        <v>0.99999999999999989</v>
      </c>
      <c r="BD5" s="3">
        <f>SUMPRODUCT($AM$30:$AV$30,B3:K3)</f>
        <v>1.1177729977880595</v>
      </c>
      <c r="BE5" s="3">
        <f>SUMPRODUCT($AM$41:$AV$41,B3:K3)</f>
        <v>0.76971061664286644</v>
      </c>
      <c r="BG5" s="3">
        <f>LN(BB6)-LN(BB5)</f>
        <v>6.4187200556464451E-3</v>
      </c>
      <c r="BH5" s="3">
        <f t="shared" ref="BH5:BJ20" si="7">LN(BC6)-LN(BC5)</f>
        <v>3.7344320412367772E-3</v>
      </c>
      <c r="BI5" s="3">
        <f t="shared" si="7"/>
        <v>1.0235380241333442E-2</v>
      </c>
      <c r="BJ5" s="3">
        <f t="shared" si="7"/>
        <v>1.1677412223253636E-2</v>
      </c>
    </row>
    <row r="6" spans="1:62" x14ac:dyDescent="0.3">
      <c r="A6" s="27">
        <v>44160</v>
      </c>
      <c r="B6" s="3">
        <v>212.09217834472599</v>
      </c>
      <c r="C6" s="3">
        <v>115.31908416748</v>
      </c>
      <c r="D6" s="3">
        <v>3185.07006835937</v>
      </c>
      <c r="E6" s="3">
        <v>1764.13000488281</v>
      </c>
      <c r="F6" s="3">
        <v>574</v>
      </c>
      <c r="G6" s="3">
        <v>1771.43005371093</v>
      </c>
      <c r="H6" s="3">
        <v>275.58999633789</v>
      </c>
      <c r="I6" s="3">
        <v>132.19296264648401</v>
      </c>
      <c r="J6" s="3">
        <v>233.13000488281199</v>
      </c>
      <c r="K6" s="3">
        <v>119.04061889648401</v>
      </c>
      <c r="L6" s="3">
        <v>3629.64990234375</v>
      </c>
      <c r="N6" s="3">
        <f t="shared" si="2"/>
        <v>6.3388653923057703E-3</v>
      </c>
      <c r="O6" s="3">
        <f t="shared" si="0"/>
        <v>4.814689329557531E-3</v>
      </c>
      <c r="P6" s="3">
        <f t="shared" si="0"/>
        <v>3.2192376819626389E-3</v>
      </c>
      <c r="Q6" s="3">
        <f t="shared" si="0"/>
        <v>1.2891785203846595E-2</v>
      </c>
      <c r="R6" s="3">
        <f t="shared" si="0"/>
        <v>2.0280769724076109E-2</v>
      </c>
      <c r="S6" s="3">
        <f t="shared" si="0"/>
        <v>1.2208963657466931E-2</v>
      </c>
      <c r="T6" s="3">
        <f t="shared" si="0"/>
        <v>8.0231772818422087E-3</v>
      </c>
      <c r="U6" s="3">
        <f t="shared" si="0"/>
        <v>2.0002149178939277E-3</v>
      </c>
      <c r="V6" s="3">
        <f t="shared" si="0"/>
        <v>-6.8004127273990633E-3</v>
      </c>
      <c r="W6" s="3">
        <f t="shared" si="0"/>
        <v>-6.659871618371227E-3</v>
      </c>
      <c r="X6" s="3">
        <f t="shared" si="0"/>
        <v>2.3941110259020348E-3</v>
      </c>
      <c r="Z6" s="6">
        <v>4</v>
      </c>
      <c r="AA6" s="3">
        <f t="shared" si="3"/>
        <v>0.70094834959586982</v>
      </c>
      <c r="AB6" s="3">
        <f t="shared" si="3"/>
        <v>0.53470677510781839</v>
      </c>
      <c r="AC6" s="3">
        <f t="shared" si="3"/>
        <v>0.56360189505049318</v>
      </c>
      <c r="AD6" s="3">
        <f t="shared" si="3"/>
        <v>0.99999999999999989</v>
      </c>
      <c r="AE6" s="3">
        <f t="shared" si="3"/>
        <v>0.23682336638334253</v>
      </c>
      <c r="AF6" s="3">
        <f t="shared" si="3"/>
        <v>0.97747397735959651</v>
      </c>
      <c r="AG6" s="3">
        <f t="shared" si="3"/>
        <v>0.59197533576376327</v>
      </c>
      <c r="AH6" s="3">
        <f t="shared" si="3"/>
        <v>0.44152132759087964</v>
      </c>
      <c r="AI6" s="3">
        <f t="shared" si="3"/>
        <v>0.25464269565545128</v>
      </c>
      <c r="AJ6" s="3">
        <f t="shared" si="3"/>
        <v>0.18606563846677335</v>
      </c>
      <c r="AK6" s="3"/>
      <c r="AL6" s="8"/>
      <c r="AW6" s="3"/>
      <c r="AY6" s="5"/>
      <c r="AZ6" s="28">
        <f>A4</f>
        <v>44158</v>
      </c>
      <c r="BA6" s="3">
        <f>BA5+1</f>
        <v>1</v>
      </c>
      <c r="BB6" s="3">
        <f t="shared" ref="BB6:BB69" si="8">SUMPRODUCT($AM$5:$AV$5,B4:K4)</f>
        <v>1.0064393641852161</v>
      </c>
      <c r="BC6" s="3">
        <f t="shared" ref="BC6:BC69" si="9">SUMPRODUCT($AM$13:$AV$13,B4:K4)</f>
        <v>1.0037414137207359</v>
      </c>
      <c r="BD6" s="3">
        <f t="shared" ref="BD6:BD69" si="10">SUMPRODUCT($AM$30:$AV$30,B4:K4)</f>
        <v>1.1292725803499204</v>
      </c>
      <c r="BE6" s="3">
        <f t="shared" ref="BE6:BE69" si="11">SUMPRODUCT($AM$41:$AV$41,B4:K4)</f>
        <v>0.77875152930187219</v>
      </c>
      <c r="BG6" s="3">
        <f t="shared" ref="BG6:BG69" si="12">LN(BB7)-LN(BB6)</f>
        <v>2.2476790134144924E-2</v>
      </c>
      <c r="BH6" s="3">
        <f t="shared" si="7"/>
        <v>2.1256470329182028E-2</v>
      </c>
      <c r="BI6" s="3">
        <f t="shared" si="7"/>
        <v>1.8912554002883011E-2</v>
      </c>
      <c r="BJ6" s="3">
        <f t="shared" si="7"/>
        <v>1.2602623930746515E-2</v>
      </c>
    </row>
    <row r="7" spans="1:62" x14ac:dyDescent="0.3">
      <c r="A7" s="27">
        <v>44162</v>
      </c>
      <c r="B7" s="3">
        <v>213.44087219238199</v>
      </c>
      <c r="C7" s="3">
        <v>115.875648498535</v>
      </c>
      <c r="D7" s="3">
        <v>3195.34008789062</v>
      </c>
      <c r="E7" s="3">
        <v>1787.02001953125</v>
      </c>
      <c r="F7" s="3">
        <v>585.760009765625</v>
      </c>
      <c r="G7" s="3">
        <v>1793.18994140625</v>
      </c>
      <c r="H7" s="3">
        <v>277.80999755859301</v>
      </c>
      <c r="I7" s="3">
        <v>132.45764160156199</v>
      </c>
      <c r="J7" s="3">
        <v>231.55000305175699</v>
      </c>
      <c r="K7" s="3">
        <v>118.25045776367099</v>
      </c>
      <c r="L7" s="3">
        <v>3638.35009765625</v>
      </c>
      <c r="N7" s="3">
        <f t="shared" si="2"/>
        <v>-5.404100564200931E-3</v>
      </c>
      <c r="O7" s="3">
        <f t="shared" si="0"/>
        <v>2.0880160443969231E-2</v>
      </c>
      <c r="P7" s="3">
        <f t="shared" si="0"/>
        <v>-8.5804134837186297E-3</v>
      </c>
      <c r="Q7" s="3">
        <f t="shared" si="0"/>
        <v>-1.8422506948527761E-2</v>
      </c>
      <c r="R7" s="3">
        <f t="shared" si="0"/>
        <v>-3.1493263770552282E-2</v>
      </c>
      <c r="S7" s="3">
        <f t="shared" si="0"/>
        <v>-1.8261954302144723E-2</v>
      </c>
      <c r="T7" s="3">
        <f t="shared" si="0"/>
        <v>-3.0282165241795056E-3</v>
      </c>
      <c r="U7" s="3">
        <f t="shared" si="0"/>
        <v>1.0520288803801847E-2</v>
      </c>
      <c r="V7" s="3">
        <f t="shared" si="0"/>
        <v>-1.1466916904506519E-2</v>
      </c>
      <c r="W7" s="3">
        <f t="shared" si="0"/>
        <v>-2.7939911078631141E-2</v>
      </c>
      <c r="X7" s="3">
        <f t="shared" si="0"/>
        <v>-4.6061406369730662E-3</v>
      </c>
      <c r="Z7" s="6">
        <v>5</v>
      </c>
      <c r="AA7" s="3">
        <f t="shared" si="3"/>
        <v>0.31408438139271921</v>
      </c>
      <c r="AB7" s="3">
        <f t="shared" si="3"/>
        <v>0.35290654570398677</v>
      </c>
      <c r="AC7" s="3">
        <f t="shared" si="3"/>
        <v>0.27629737560742246</v>
      </c>
      <c r="AD7" s="3">
        <f t="shared" si="3"/>
        <v>0.23682336638334253</v>
      </c>
      <c r="AE7" s="3">
        <f t="shared" si="3"/>
        <v>1.0000000000000002</v>
      </c>
      <c r="AF7" s="3">
        <f t="shared" si="3"/>
        <v>0.24227228415915145</v>
      </c>
      <c r="AG7" s="3">
        <f t="shared" si="3"/>
        <v>0.29288298754308295</v>
      </c>
      <c r="AH7" s="3">
        <f t="shared" si="3"/>
        <v>0.36659633508151857</v>
      </c>
      <c r="AI7" s="3">
        <f t="shared" si="3"/>
        <v>4.7142890077843704E-2</v>
      </c>
      <c r="AJ7" s="3">
        <f t="shared" si="3"/>
        <v>6.1705392407209188E-2</v>
      </c>
      <c r="AK7" s="3"/>
      <c r="AL7" s="11" t="s">
        <v>24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5"/>
      <c r="AZ7" s="28">
        <f t="shared" ref="AZ7:AZ70" si="13">A5</f>
        <v>44159</v>
      </c>
      <c r="BA7" s="3">
        <f t="shared" ref="BA7:BA70" si="14">BA6+1</f>
        <v>2</v>
      </c>
      <c r="BB7" s="3">
        <f t="shared" si="8"/>
        <v>1.029317035714125</v>
      </c>
      <c r="BC7" s="3">
        <f t="shared" si="9"/>
        <v>1.0253057926296891</v>
      </c>
      <c r="BD7" s="3">
        <f t="shared" si="10"/>
        <v>1.1508332500181775</v>
      </c>
      <c r="BE7" s="3">
        <f t="shared" si="11"/>
        <v>0.788627945622424</v>
      </c>
      <c r="BG7" s="3">
        <f t="shared" si="12"/>
        <v>6.7889101242977895E-3</v>
      </c>
      <c r="BH7" s="3">
        <f t="shared" si="7"/>
        <v>3.7530120915598812E-3</v>
      </c>
      <c r="BI7" s="3">
        <f t="shared" si="7"/>
        <v>7.3613510961071382E-3</v>
      </c>
      <c r="BJ7" s="3">
        <f t="shared" si="7"/>
        <v>9.9141306090417269E-3</v>
      </c>
    </row>
    <row r="8" spans="1:62" x14ac:dyDescent="0.3">
      <c r="A8" s="27">
        <v>44165</v>
      </c>
      <c r="B8" s="3">
        <v>212.29052734375</v>
      </c>
      <c r="C8" s="3">
        <v>118.320587158203</v>
      </c>
      <c r="D8" s="3">
        <v>3168.0400390625</v>
      </c>
      <c r="E8" s="3">
        <v>1754.40002441406</v>
      </c>
      <c r="F8" s="3">
        <v>567.59997558593705</v>
      </c>
      <c r="G8" s="3">
        <v>1760.73999023437</v>
      </c>
      <c r="H8" s="3">
        <v>276.97000122070301</v>
      </c>
      <c r="I8" s="3">
        <v>133.85848999023401</v>
      </c>
      <c r="J8" s="3">
        <v>228.91000366210901</v>
      </c>
      <c r="K8" s="3">
        <v>114.99227905273401</v>
      </c>
      <c r="L8" s="3">
        <v>3621.6298828125</v>
      </c>
      <c r="N8" s="3">
        <f t="shared" si="2"/>
        <v>9.9470771718905837E-3</v>
      </c>
      <c r="O8" s="3">
        <f t="shared" si="0"/>
        <v>3.0361766593377304E-2</v>
      </c>
      <c r="P8" s="3">
        <f t="shared" si="0"/>
        <v>1.6293115764733912E-2</v>
      </c>
      <c r="Q8" s="3">
        <f t="shared" si="0"/>
        <v>2.3078618737920387E-2</v>
      </c>
      <c r="R8" s="3">
        <f t="shared" si="0"/>
        <v>2.9784621070551687E-2</v>
      </c>
      <c r="S8" s="3">
        <f t="shared" si="0"/>
        <v>2.099636859480114E-2</v>
      </c>
      <c r="T8" s="3">
        <f t="shared" si="0"/>
        <v>3.4003796917370543E-2</v>
      </c>
      <c r="U8" s="3">
        <f t="shared" si="0"/>
        <v>-8.5827155591378101E-4</v>
      </c>
      <c r="V8" s="3">
        <f t="shared" si="0"/>
        <v>3.3580747220671725E-3</v>
      </c>
      <c r="W8" s="3">
        <f t="shared" si="0"/>
        <v>1.5655523854413822E-2</v>
      </c>
      <c r="X8" s="3">
        <f t="shared" si="0"/>
        <v>1.1208140661592481E-2</v>
      </c>
      <c r="Z8" s="6">
        <v>6</v>
      </c>
      <c r="AA8" s="3">
        <f t="shared" si="3"/>
        <v>0.68952738879614472</v>
      </c>
      <c r="AB8" s="3">
        <f t="shared" si="3"/>
        <v>0.52698920706299379</v>
      </c>
      <c r="AC8" s="3">
        <f t="shared" si="3"/>
        <v>0.56080517018707721</v>
      </c>
      <c r="AD8" s="3">
        <f t="shared" si="3"/>
        <v>0.97747397735959651</v>
      </c>
      <c r="AE8" s="3">
        <f t="shared" si="3"/>
        <v>0.24227228415915145</v>
      </c>
      <c r="AF8" s="3">
        <f t="shared" si="3"/>
        <v>0.99999999999999989</v>
      </c>
      <c r="AG8" s="3">
        <f t="shared" si="3"/>
        <v>0.57718121986304827</v>
      </c>
      <c r="AH8" s="3">
        <f t="shared" si="3"/>
        <v>0.41877776661810467</v>
      </c>
      <c r="AI8" s="3">
        <f t="shared" si="3"/>
        <v>0.27041537205410909</v>
      </c>
      <c r="AJ8" s="3">
        <f t="shared" si="3"/>
        <v>0.19222458070961917</v>
      </c>
      <c r="AK8" s="3"/>
      <c r="AL8" s="11"/>
      <c r="AM8" s="12" t="s">
        <v>33</v>
      </c>
      <c r="AN8" s="12" t="s">
        <v>34</v>
      </c>
      <c r="AO8" s="12" t="s">
        <v>35</v>
      </c>
      <c r="AP8" s="12" t="s">
        <v>36</v>
      </c>
      <c r="AQ8" s="12" t="s">
        <v>37</v>
      </c>
      <c r="AR8" s="12" t="s">
        <v>38</v>
      </c>
      <c r="AS8" s="12" t="s">
        <v>39</v>
      </c>
      <c r="AT8" s="12" t="s">
        <v>40</v>
      </c>
      <c r="AU8" s="12" t="s">
        <v>41</v>
      </c>
      <c r="AV8" s="12" t="s">
        <v>42</v>
      </c>
      <c r="AW8" s="12" t="s">
        <v>5</v>
      </c>
      <c r="AY8" s="5"/>
      <c r="AZ8" s="28">
        <f t="shared" si="13"/>
        <v>44160</v>
      </c>
      <c r="BA8" s="3">
        <f t="shared" si="14"/>
        <v>3</v>
      </c>
      <c r="BB8" s="3">
        <f t="shared" si="8"/>
        <v>1.0363287505796175</v>
      </c>
      <c r="BC8" s="3">
        <f t="shared" si="9"/>
        <v>1.0291610074758519</v>
      </c>
      <c r="BD8" s="3">
        <f t="shared" si="10"/>
        <v>1.1593361958118145</v>
      </c>
      <c r="BE8" s="3">
        <f t="shared" si="11"/>
        <v>0.79648539159114307</v>
      </c>
      <c r="BG8" s="3">
        <f t="shared" si="12"/>
        <v>5.8178648844053119E-3</v>
      </c>
      <c r="BH8" s="3">
        <f t="shared" si="7"/>
        <v>4.1246352276267384E-3</v>
      </c>
      <c r="BI8" s="3">
        <f t="shared" si="7"/>
        <v>-3.2880106821270294E-4</v>
      </c>
      <c r="BJ8" s="3">
        <f t="shared" si="7"/>
        <v>-5.5779258619360061E-3</v>
      </c>
    </row>
    <row r="9" spans="1:62" x14ac:dyDescent="0.3">
      <c r="A9" s="27">
        <v>44166</v>
      </c>
      <c r="B9" s="3">
        <v>214.41273498535099</v>
      </c>
      <c r="C9" s="3">
        <v>121.96810150146401</v>
      </c>
      <c r="D9" s="3">
        <v>3220.080078125</v>
      </c>
      <c r="E9" s="3">
        <v>1795.35998535156</v>
      </c>
      <c r="F9" s="3">
        <v>584.760009765625</v>
      </c>
      <c r="G9" s="3">
        <v>1798.09997558593</v>
      </c>
      <c r="H9" s="3">
        <v>286.54998779296801</v>
      </c>
      <c r="I9" s="3">
        <v>133.74365234375</v>
      </c>
      <c r="J9" s="3">
        <v>229.67999267578099</v>
      </c>
      <c r="K9" s="3">
        <v>116.80670928955</v>
      </c>
      <c r="L9" s="3">
        <v>3662.44995117187</v>
      </c>
      <c r="N9" s="3">
        <f t="shared" si="2"/>
        <v>-3.8927047859553809E-3</v>
      </c>
      <c r="O9" s="3">
        <f t="shared" si="0"/>
        <v>2.9291620326921119E-3</v>
      </c>
      <c r="P9" s="3">
        <f t="shared" si="0"/>
        <v>-5.1528922744363825E-3</v>
      </c>
      <c r="Q9" s="3">
        <f t="shared" si="0"/>
        <v>1.6357981714465453E-2</v>
      </c>
      <c r="R9" s="3">
        <f t="shared" si="0"/>
        <v>-2.7637470852587498E-2</v>
      </c>
      <c r="S9" s="3">
        <f t="shared" si="0"/>
        <v>1.6464555370571787E-2</v>
      </c>
      <c r="T9" s="3">
        <f t="shared" si="0"/>
        <v>3.3793864268494289E-3</v>
      </c>
      <c r="U9" s="3">
        <f t="shared" si="0"/>
        <v>1.1472413308674767E-2</v>
      </c>
      <c r="V9" s="3">
        <f t="shared" si="0"/>
        <v>3.2167187392992957E-3</v>
      </c>
      <c r="W9" s="3">
        <f t="shared" si="0"/>
        <v>1.9026163380780226E-2</v>
      </c>
      <c r="X9" s="3">
        <f t="shared" si="0"/>
        <v>1.7895645286039041E-3</v>
      </c>
      <c r="Z9" s="6">
        <v>7</v>
      </c>
      <c r="AA9" s="3">
        <f t="shared" si="3"/>
        <v>0.49071930118660939</v>
      </c>
      <c r="AB9" s="3">
        <f t="shared" si="3"/>
        <v>0.5049612519149651</v>
      </c>
      <c r="AC9" s="3">
        <f t="shared" si="3"/>
        <v>0.49867452773879434</v>
      </c>
      <c r="AD9" s="3">
        <f t="shared" si="3"/>
        <v>0.59197533576376327</v>
      </c>
      <c r="AE9" s="3">
        <f t="shared" si="3"/>
        <v>0.29288298754308295</v>
      </c>
      <c r="AF9" s="3">
        <f t="shared" si="3"/>
        <v>0.57718121986304827</v>
      </c>
      <c r="AG9" s="3">
        <f t="shared" si="3"/>
        <v>1</v>
      </c>
      <c r="AH9" s="3">
        <f t="shared" si="3"/>
        <v>0.40695529541614989</v>
      </c>
      <c r="AI9" s="3">
        <f t="shared" si="3"/>
        <v>0.16978785714791356</v>
      </c>
      <c r="AJ9" s="3">
        <f t="shared" si="3"/>
        <v>7.1813571624569861E-2</v>
      </c>
      <c r="AK9" s="3"/>
      <c r="AL9" s="8" t="s">
        <v>8</v>
      </c>
      <c r="AM9" s="3">
        <f>STDEV(N$3:N$253)</f>
        <v>1.2445561687110494E-2</v>
      </c>
      <c r="AN9" s="3">
        <f t="shared" ref="AN9:AV9" si="15">STDEV(O$3:O$253)</f>
        <v>1.5679149262376881E-2</v>
      </c>
      <c r="AO9" s="3">
        <f t="shared" si="15"/>
        <v>1.4958510150755886E-2</v>
      </c>
      <c r="AP9" s="3">
        <f t="shared" si="15"/>
        <v>1.4995044374370502E-2</v>
      </c>
      <c r="AQ9" s="3">
        <f t="shared" si="15"/>
        <v>3.4444968549153888E-2</v>
      </c>
      <c r="AR9" s="3">
        <f t="shared" si="15"/>
        <v>1.4565987823320102E-2</v>
      </c>
      <c r="AS9" s="3">
        <f t="shared" si="15"/>
        <v>1.8052045596805618E-2</v>
      </c>
      <c r="AT9" s="3">
        <f t="shared" si="15"/>
        <v>2.5444619690000284E-2</v>
      </c>
      <c r="AU9" s="3">
        <f t="shared" si="15"/>
        <v>9.3820719156651085E-3</v>
      </c>
      <c r="AV9" s="3">
        <f t="shared" si="15"/>
        <v>1.3807692818239689E-2</v>
      </c>
      <c r="AW9" s="7"/>
      <c r="AY9" s="5"/>
      <c r="AZ9" s="28">
        <f t="shared" si="13"/>
        <v>44162</v>
      </c>
      <c r="BA9" s="3">
        <f t="shared" si="14"/>
        <v>4</v>
      </c>
      <c r="BB9" s="3">
        <f t="shared" si="8"/>
        <v>1.0423755438837752</v>
      </c>
      <c r="BC9" s="3">
        <f t="shared" si="9"/>
        <v>1.0334146876311774</v>
      </c>
      <c r="BD9" s="3">
        <f t="shared" si="10"/>
        <v>1.1589550674933466</v>
      </c>
      <c r="BE9" s="3">
        <f t="shared" si="11"/>
        <v>0.792055022748134</v>
      </c>
      <c r="BG9" s="3">
        <f t="shared" si="12"/>
        <v>-9.7405579654730595E-3</v>
      </c>
      <c r="BH9" s="3">
        <f t="shared" si="7"/>
        <v>-9.595444964580823E-3</v>
      </c>
      <c r="BI9" s="3">
        <f t="shared" si="7"/>
        <v>-6.0545877418506922E-3</v>
      </c>
      <c r="BJ9" s="3">
        <f t="shared" si="7"/>
        <v>-1.8887870315170696E-4</v>
      </c>
    </row>
    <row r="10" spans="1:62" x14ac:dyDescent="0.3">
      <c r="A10" s="27">
        <v>44167</v>
      </c>
      <c r="B10" s="3">
        <v>213.57971191406199</v>
      </c>
      <c r="C10" s="3">
        <v>122.325889587402</v>
      </c>
      <c r="D10" s="3">
        <v>3203.53002929687</v>
      </c>
      <c r="E10" s="3">
        <v>1824.96997070312</v>
      </c>
      <c r="F10" s="3">
        <v>568.82000732421795</v>
      </c>
      <c r="G10" s="3">
        <v>1827.94995117187</v>
      </c>
      <c r="H10" s="3">
        <v>287.51998901367102</v>
      </c>
      <c r="I10" s="3">
        <v>135.286849975585</v>
      </c>
      <c r="J10" s="3">
        <v>230.419998168945</v>
      </c>
      <c r="K10" s="3">
        <v>119.050369262695</v>
      </c>
      <c r="L10" s="3">
        <v>3669.01000976562</v>
      </c>
      <c r="N10" s="3">
        <f t="shared" si="2"/>
        <v>-5.2606631310307961E-3</v>
      </c>
      <c r="O10" s="3">
        <f t="shared" si="0"/>
        <v>-1.1380784404426691E-3</v>
      </c>
      <c r="P10" s="3">
        <f t="shared" si="0"/>
        <v>-5.2580294098092395E-3</v>
      </c>
      <c r="Q10" s="3">
        <f t="shared" si="0"/>
        <v>-1.7165718564271515E-3</v>
      </c>
      <c r="R10" s="3">
        <f t="shared" si="0"/>
        <v>4.2270958948289028E-2</v>
      </c>
      <c r="S10" s="3">
        <f t="shared" si="0"/>
        <v>-6.4570292174170874E-4</v>
      </c>
      <c r="T10" s="3">
        <f t="shared" si="0"/>
        <v>-1.991734864181538E-2</v>
      </c>
      <c r="U10" s="3">
        <f t="shared" si="0"/>
        <v>-1.0729052231012837E-2</v>
      </c>
      <c r="V10" s="3">
        <f t="shared" si="0"/>
        <v>2.6005826911212893E-3</v>
      </c>
      <c r="W10" s="3">
        <f t="shared" si="0"/>
        <v>-6.576814826455113E-3</v>
      </c>
      <c r="X10" s="3">
        <f t="shared" si="0"/>
        <v>-6.2435208029398837E-4</v>
      </c>
      <c r="Z10" s="6">
        <v>8</v>
      </c>
      <c r="AA10" s="3">
        <f t="shared" si="3"/>
        <v>0.53999243124135088</v>
      </c>
      <c r="AB10" s="3">
        <f t="shared" si="3"/>
        <v>0.46898610645747618</v>
      </c>
      <c r="AC10" s="3">
        <f t="shared" si="3"/>
        <v>0.50185942795733629</v>
      </c>
      <c r="AD10" s="3">
        <f t="shared" si="3"/>
        <v>0.44152132759087964</v>
      </c>
      <c r="AE10" s="3">
        <f t="shared" si="3"/>
        <v>0.36659633508151857</v>
      </c>
      <c r="AF10" s="3">
        <f t="shared" si="3"/>
        <v>0.41877776661810467</v>
      </c>
      <c r="AG10" s="3">
        <f t="shared" si="3"/>
        <v>0.40695529541614989</v>
      </c>
      <c r="AH10" s="3">
        <f t="shared" si="3"/>
        <v>1</v>
      </c>
      <c r="AI10" s="3">
        <f t="shared" si="3"/>
        <v>7.4883255450057903E-2</v>
      </c>
      <c r="AJ10" s="3">
        <f t="shared" si="3"/>
        <v>2.121322337377881E-2</v>
      </c>
      <c r="AK10" s="3"/>
      <c r="AL10" s="8" t="s">
        <v>13</v>
      </c>
      <c r="AM10" s="3">
        <f>1/AM9</f>
        <v>80.349929166770423</v>
      </c>
      <c r="AN10" s="3">
        <f t="shared" ref="AN10:AV10" si="16">1/AN9</f>
        <v>63.778970610322837</v>
      </c>
      <c r="AO10" s="3">
        <f t="shared" si="16"/>
        <v>66.851577458030988</v>
      </c>
      <c r="AP10" s="3">
        <f t="shared" si="16"/>
        <v>66.688698948380434</v>
      </c>
      <c r="AQ10" s="3">
        <f t="shared" si="16"/>
        <v>29.031816318048698</v>
      </c>
      <c r="AR10" s="3">
        <f t="shared" si="16"/>
        <v>68.653084990157893</v>
      </c>
      <c r="AS10" s="3">
        <f t="shared" si="16"/>
        <v>55.395384120731116</v>
      </c>
      <c r="AT10" s="3">
        <f t="shared" si="16"/>
        <v>39.301039362478633</v>
      </c>
      <c r="AU10" s="3">
        <f t="shared" si="16"/>
        <v>106.58626463204941</v>
      </c>
      <c r="AV10" s="3">
        <f t="shared" si="16"/>
        <v>72.423395650794006</v>
      </c>
      <c r="AW10" s="3">
        <f>SUM(AM10:AV10)</f>
        <v>649.06016125776443</v>
      </c>
      <c r="AY10" s="5"/>
      <c r="AZ10" s="28">
        <f t="shared" si="13"/>
        <v>44165</v>
      </c>
      <c r="BA10" s="3">
        <f t="shared" si="14"/>
        <v>5</v>
      </c>
      <c r="BB10" s="3">
        <f t="shared" si="8"/>
        <v>1.0322715138098764</v>
      </c>
      <c r="BC10" s="3">
        <f t="shared" si="9"/>
        <v>1.0235460366383782</v>
      </c>
      <c r="BD10" s="3">
        <f t="shared" si="10"/>
        <v>1.1519592720480147</v>
      </c>
      <c r="BE10" s="3">
        <f t="shared" si="11"/>
        <v>0.79190543455006968</v>
      </c>
      <c r="BG10" s="3">
        <f t="shared" si="12"/>
        <v>1.8484947224306617E-2</v>
      </c>
      <c r="BH10" s="3">
        <f t="shared" si="7"/>
        <v>1.7114676244340755E-2</v>
      </c>
      <c r="BI10" s="3">
        <f t="shared" si="7"/>
        <v>1.1926898977090122E-2</v>
      </c>
      <c r="BJ10" s="3">
        <f t="shared" si="7"/>
        <v>5.6819771256462759E-3</v>
      </c>
    </row>
    <row r="11" spans="1:62" x14ac:dyDescent="0.3">
      <c r="A11" s="27">
        <v>44168</v>
      </c>
      <c r="B11" s="3">
        <v>212.45909118652301</v>
      </c>
      <c r="C11" s="3">
        <v>122.186752319335</v>
      </c>
      <c r="D11" s="3">
        <v>3186.72998046875</v>
      </c>
      <c r="E11" s="3">
        <v>1821.83996582031</v>
      </c>
      <c r="F11" s="3">
        <v>593.38000488281205</v>
      </c>
      <c r="G11" s="3">
        <v>1826.77001953125</v>
      </c>
      <c r="H11" s="3">
        <v>281.850006103515</v>
      </c>
      <c r="I11" s="3">
        <v>133.84310913085901</v>
      </c>
      <c r="J11" s="3">
        <v>231.02000427246</v>
      </c>
      <c r="K11" s="3">
        <v>118.269966125488</v>
      </c>
      <c r="L11" s="3">
        <v>3666.71997070312</v>
      </c>
      <c r="N11" s="3">
        <f t="shared" si="2"/>
        <v>5.5996653008261177E-4</v>
      </c>
      <c r="O11" s="3">
        <f t="shared" si="0"/>
        <v>-5.6283307355728951E-3</v>
      </c>
      <c r="P11" s="3">
        <f t="shared" si="0"/>
        <v>-7.6071316664538813E-3</v>
      </c>
      <c r="Q11" s="3">
        <f t="shared" si="0"/>
        <v>1.0533487687620635E-3</v>
      </c>
      <c r="R11" s="3">
        <f t="shared" si="0"/>
        <v>9.4933257300455764E-3</v>
      </c>
      <c r="S11" s="3">
        <f t="shared" si="0"/>
        <v>6.6760648861841076E-4</v>
      </c>
      <c r="T11" s="3">
        <f t="shared" si="0"/>
        <v>-7.6573923315592651E-3</v>
      </c>
      <c r="U11" s="3">
        <f t="shared" si="0"/>
        <v>1.2038908138608306E-2</v>
      </c>
      <c r="V11" s="3">
        <f t="shared" si="0"/>
        <v>1.4274363807471602E-3</v>
      </c>
      <c r="W11" s="3">
        <f t="shared" si="0"/>
        <v>9.0320514112587347E-3</v>
      </c>
      <c r="X11" s="3">
        <f t="shared" si="0"/>
        <v>8.7974637151884139E-3</v>
      </c>
      <c r="Z11" s="6">
        <v>9</v>
      </c>
      <c r="AA11" s="3">
        <f t="shared" si="3"/>
        <v>0.1915802854247402</v>
      </c>
      <c r="AB11" s="3">
        <f t="shared" si="3"/>
        <v>0.20493402146730699</v>
      </c>
      <c r="AC11" s="3">
        <f t="shared" si="3"/>
        <v>7.4996834961083336E-2</v>
      </c>
      <c r="AD11" s="3">
        <f t="shared" si="3"/>
        <v>0.25464269565545128</v>
      </c>
      <c r="AE11" s="3">
        <f t="shared" si="3"/>
        <v>4.7142890077843704E-2</v>
      </c>
      <c r="AF11" s="3">
        <f t="shared" si="3"/>
        <v>0.27041537205410909</v>
      </c>
      <c r="AG11" s="3">
        <f t="shared" si="3"/>
        <v>0.16978785714791356</v>
      </c>
      <c r="AH11" s="3">
        <f t="shared" si="3"/>
        <v>7.4883255450057903E-2</v>
      </c>
      <c r="AI11" s="3">
        <f t="shared" si="3"/>
        <v>1.0000000000000002</v>
      </c>
      <c r="AJ11" s="3">
        <f t="shared" si="3"/>
        <v>0.70539662926566737</v>
      </c>
      <c r="AK11" s="3"/>
      <c r="AL11" s="8" t="s">
        <v>9</v>
      </c>
      <c r="AM11" s="3">
        <f>AM10/$AW$10</f>
        <v>0.12379427048960515</v>
      </c>
      <c r="AN11" s="3">
        <f t="shared" ref="AN11:AV11" si="17">AN10/$AW$10</f>
        <v>9.8263573112745681E-2</v>
      </c>
      <c r="AO11" s="3">
        <f t="shared" si="17"/>
        <v>0.10299750539069351</v>
      </c>
      <c r="AP11" s="3">
        <f t="shared" si="17"/>
        <v>0.10274656022509449</v>
      </c>
      <c r="AQ11" s="3">
        <f t="shared" si="17"/>
        <v>4.4729006725339825E-2</v>
      </c>
      <c r="AR11" s="3">
        <f t="shared" si="17"/>
        <v>0.10577306864300574</v>
      </c>
      <c r="AS11" s="3">
        <f t="shared" si="17"/>
        <v>8.5347071700386912E-2</v>
      </c>
      <c r="AT11" s="3">
        <f t="shared" si="17"/>
        <v>6.0550688069223244E-2</v>
      </c>
      <c r="AU11" s="3">
        <f t="shared" si="17"/>
        <v>0.16421630997272113</v>
      </c>
      <c r="AV11" s="3">
        <f t="shared" si="17"/>
        <v>0.11158194567118432</v>
      </c>
      <c r="AW11" s="3">
        <f>SUM(AM11:AV11)</f>
        <v>0.99999999999999989</v>
      </c>
      <c r="AY11" s="5"/>
      <c r="AZ11" s="28">
        <f t="shared" si="13"/>
        <v>44166</v>
      </c>
      <c r="BA11" s="3">
        <f t="shared" si="14"/>
        <v>6</v>
      </c>
      <c r="BB11" s="3">
        <f t="shared" si="8"/>
        <v>1.0515304500898803</v>
      </c>
      <c r="BC11" s="3">
        <f t="shared" si="9"/>
        <v>1.0412144590689281</v>
      </c>
      <c r="BD11" s="3">
        <f t="shared" si="10"/>
        <v>1.1657808342557601</v>
      </c>
      <c r="BE11" s="3">
        <f t="shared" si="11"/>
        <v>0.79641783064037364</v>
      </c>
      <c r="BG11" s="3">
        <f t="shared" si="12"/>
        <v>3.2378143111456009E-3</v>
      </c>
      <c r="BH11" s="3">
        <f t="shared" si="7"/>
        <v>4.9458706469103567E-3</v>
      </c>
      <c r="BI11" s="3">
        <f t="shared" si="7"/>
        <v>3.1245499388010411E-3</v>
      </c>
      <c r="BJ11" s="3">
        <f t="shared" si="7"/>
        <v>2.063465171485479E-3</v>
      </c>
    </row>
    <row r="12" spans="1:62" x14ac:dyDescent="0.3">
      <c r="A12" s="27">
        <v>44169</v>
      </c>
      <c r="B12" s="3">
        <v>212.57809448242099</v>
      </c>
      <c r="C12" s="3">
        <v>121.5009765625</v>
      </c>
      <c r="D12" s="3">
        <v>3162.580078125</v>
      </c>
      <c r="E12" s="3">
        <v>1823.76000976562</v>
      </c>
      <c r="F12" s="3">
        <v>599.03997802734295</v>
      </c>
      <c r="G12" s="3">
        <v>1827.98999023437</v>
      </c>
      <c r="H12" s="3">
        <v>279.70001220703102</v>
      </c>
      <c r="I12" s="3">
        <v>135.46417236328099</v>
      </c>
      <c r="J12" s="3">
        <v>231.350006103515</v>
      </c>
      <c r="K12" s="3">
        <v>119.34302520751901</v>
      </c>
      <c r="L12" s="3">
        <v>3699.1201171875</v>
      </c>
      <c r="N12" s="3">
        <f t="shared" si="2"/>
        <v>-3.2665091996975093E-4</v>
      </c>
      <c r="O12" s="3">
        <f t="shared" si="0"/>
        <v>1.2195249118352791E-2</v>
      </c>
      <c r="P12" s="3">
        <f t="shared" si="0"/>
        <v>-1.4492590458576871E-3</v>
      </c>
      <c r="Q12" s="3">
        <f t="shared" si="0"/>
        <v>-3.6969932689636664E-3</v>
      </c>
      <c r="R12" s="3">
        <f t="shared" si="0"/>
        <v>6.8886080069296085E-2</v>
      </c>
      <c r="S12" s="3">
        <f t="shared" si="0"/>
        <v>-4.6662619708346398E-3</v>
      </c>
      <c r="T12" s="3">
        <f t="shared" si="0"/>
        <v>2.080450913176346E-2</v>
      </c>
      <c r="U12" s="3">
        <f t="shared" si="0"/>
        <v>3.5708625376438263E-3</v>
      </c>
      <c r="V12" s="3">
        <f t="shared" si="0"/>
        <v>-9.1622280891394681E-3</v>
      </c>
      <c r="W12" s="3">
        <f t="shared" si="0"/>
        <v>-3.7671565756642877E-3</v>
      </c>
      <c r="X12" s="3">
        <f t="shared" si="0"/>
        <v>-1.9375134389640891E-3</v>
      </c>
      <c r="Z12" s="6">
        <v>10</v>
      </c>
      <c r="AA12" s="3">
        <f t="shared" si="3"/>
        <v>6.1729893390954629E-3</v>
      </c>
      <c r="AB12" s="3">
        <f t="shared" si="3"/>
        <v>6.1408724833525177E-2</v>
      </c>
      <c r="AC12" s="3">
        <f t="shared" si="3"/>
        <v>-9.558658236139583E-3</v>
      </c>
      <c r="AD12" s="3">
        <f t="shared" si="3"/>
        <v>0.18606563846677335</v>
      </c>
      <c r="AE12" s="3">
        <f t="shared" si="3"/>
        <v>6.1705392407209188E-2</v>
      </c>
      <c r="AF12" s="3">
        <f t="shared" si="3"/>
        <v>0.19222458070961917</v>
      </c>
      <c r="AG12" s="3">
        <f t="shared" si="3"/>
        <v>7.1813571624569861E-2</v>
      </c>
      <c r="AH12" s="3">
        <f t="shared" si="3"/>
        <v>2.121322337377881E-2</v>
      </c>
      <c r="AI12" s="3">
        <f t="shared" si="3"/>
        <v>0.70539662926566737</v>
      </c>
      <c r="AJ12" s="3">
        <f t="shared" si="3"/>
        <v>1</v>
      </c>
      <c r="AK12" s="3"/>
      <c r="AL12" s="8" t="s">
        <v>7</v>
      </c>
      <c r="AM12" s="3">
        <f>B3</f>
        <v>208.64109802246</v>
      </c>
      <c r="AN12" s="3">
        <f t="shared" ref="AN12:AV12" si="18">C3</f>
        <v>116.621055603027</v>
      </c>
      <c r="AO12" s="3">
        <f t="shared" si="18"/>
        <v>3099.39990234375</v>
      </c>
      <c r="AP12" s="3">
        <f t="shared" si="18"/>
        <v>1736.38000488281</v>
      </c>
      <c r="AQ12" s="3">
        <f t="shared" si="18"/>
        <v>489.60998535156199</v>
      </c>
      <c r="AR12" s="3">
        <f t="shared" si="18"/>
        <v>1742.18994140625</v>
      </c>
      <c r="AS12" s="3">
        <f t="shared" si="18"/>
        <v>269.70001220703102</v>
      </c>
      <c r="AT12" s="3">
        <f t="shared" si="18"/>
        <v>130.72467041015599</v>
      </c>
      <c r="AU12" s="3">
        <f t="shared" si="18"/>
        <v>227.009994506835</v>
      </c>
      <c r="AV12" s="3">
        <f t="shared" si="18"/>
        <v>111.763366699218</v>
      </c>
      <c r="AW12" s="7"/>
      <c r="AY12" s="5"/>
      <c r="AZ12" s="28">
        <f t="shared" si="13"/>
        <v>44167</v>
      </c>
      <c r="BA12" s="3">
        <f t="shared" si="14"/>
        <v>7</v>
      </c>
      <c r="BB12" s="3">
        <f t="shared" si="8"/>
        <v>1.0549406282123512</v>
      </c>
      <c r="BC12" s="3">
        <f t="shared" si="9"/>
        <v>1.0463769270250103</v>
      </c>
      <c r="BD12" s="3">
        <f t="shared" si="10"/>
        <v>1.169429071271374</v>
      </c>
      <c r="BE12" s="3">
        <f t="shared" si="11"/>
        <v>0.79806290779184041</v>
      </c>
      <c r="BG12" s="3">
        <f t="shared" si="12"/>
        <v>-6.7212096728670734E-5</v>
      </c>
      <c r="BH12" s="3">
        <f t="shared" si="7"/>
        <v>-2.0679991646709306E-3</v>
      </c>
      <c r="BI12" s="3">
        <f t="shared" si="7"/>
        <v>-4.9936514031900803E-5</v>
      </c>
      <c r="BJ12" s="3">
        <f t="shared" si="7"/>
        <v>-8.6990595161645645E-4</v>
      </c>
    </row>
    <row r="13" spans="1:62" x14ac:dyDescent="0.3">
      <c r="A13" s="27">
        <v>44172</v>
      </c>
      <c r="B13" s="3">
        <v>212.50866699218699</v>
      </c>
      <c r="C13" s="3">
        <v>122.99178314208901</v>
      </c>
      <c r="D13" s="3">
        <v>3158</v>
      </c>
      <c r="E13" s="3">
        <v>1817.03002929687</v>
      </c>
      <c r="F13" s="3">
        <v>641.760009765625</v>
      </c>
      <c r="G13" s="3">
        <v>1819.47998046875</v>
      </c>
      <c r="H13" s="3">
        <v>285.579986572265</v>
      </c>
      <c r="I13" s="3">
        <v>135.94876098632801</v>
      </c>
      <c r="J13" s="3">
        <v>229.24000549316401</v>
      </c>
      <c r="K13" s="3">
        <v>118.894287109375</v>
      </c>
      <c r="L13" s="3">
        <v>3691.9599609375</v>
      </c>
      <c r="N13" s="3">
        <f t="shared" si="2"/>
        <v>7.99454384753151E-3</v>
      </c>
      <c r="O13" s="3">
        <f t="shared" si="0"/>
        <v>5.0779682831390005E-3</v>
      </c>
      <c r="P13" s="3">
        <f t="shared" si="0"/>
        <v>6.089728665129357E-3</v>
      </c>
      <c r="Q13" s="3">
        <f t="shared" si="0"/>
        <v>-3.1419583252016992E-3</v>
      </c>
      <c r="R13" s="3">
        <f t="shared" si="0"/>
        <v>1.2573320736269267E-2</v>
      </c>
      <c r="S13" s="3">
        <f t="shared" si="0"/>
        <v>-5.1122813907245046E-4</v>
      </c>
      <c r="T13" s="3">
        <f t="shared" si="0"/>
        <v>-7.662847263150141E-3</v>
      </c>
      <c r="U13" s="3">
        <f t="shared" si="0"/>
        <v>-1.904962602235738E-2</v>
      </c>
      <c r="V13" s="3">
        <f t="shared" si="0"/>
        <v>-4.59088768870064E-3</v>
      </c>
      <c r="W13" s="3">
        <f t="shared" si="0"/>
        <v>9.8413336739966439E-4</v>
      </c>
      <c r="X13" s="3">
        <f t="shared" si="0"/>
        <v>2.7832711701716306E-3</v>
      </c>
      <c r="AK13" s="3"/>
      <c r="AL13" s="8" t="s">
        <v>16</v>
      </c>
      <c r="AM13" s="3">
        <f>AM11/AM12</f>
        <v>5.9333598060473604E-4</v>
      </c>
      <c r="AN13" s="3">
        <f t="shared" ref="AN13:AV13" si="19">AN11/AN12</f>
        <v>8.4258860978956153E-4</v>
      </c>
      <c r="AO13" s="3">
        <f t="shared" si="19"/>
        <v>3.3231434676373103E-5</v>
      </c>
      <c r="AP13" s="3">
        <f t="shared" si="19"/>
        <v>5.9172853831629418E-5</v>
      </c>
      <c r="AQ13" s="3">
        <f t="shared" si="19"/>
        <v>9.1356402164106986E-5</v>
      </c>
      <c r="AR13" s="3">
        <f t="shared" si="19"/>
        <v>6.0712707684231316E-5</v>
      </c>
      <c r="AS13" s="3">
        <f t="shared" si="19"/>
        <v>3.1645186443251459E-4</v>
      </c>
      <c r="AT13" s="3">
        <f t="shared" si="19"/>
        <v>4.6319250895215155E-4</v>
      </c>
      <c r="AU13" s="3">
        <f t="shared" si="19"/>
        <v>7.2338801791291512E-4</v>
      </c>
      <c r="AV13" s="3">
        <f t="shared" si="19"/>
        <v>9.9837673977268477E-4</v>
      </c>
      <c r="AW13" s="7"/>
      <c r="AY13" s="5"/>
      <c r="AZ13" s="28">
        <f t="shared" si="13"/>
        <v>44168</v>
      </c>
      <c r="BA13" s="3">
        <f t="shared" si="14"/>
        <v>8</v>
      </c>
      <c r="BB13" s="3">
        <f t="shared" si="8"/>
        <v>1.0548697258235806</v>
      </c>
      <c r="BC13" s="3">
        <f t="shared" si="9"/>
        <v>1.0442152563509528</v>
      </c>
      <c r="BD13" s="3">
        <f t="shared" si="10"/>
        <v>1.1693706755181994</v>
      </c>
      <c r="BE13" s="3">
        <f t="shared" si="11"/>
        <v>0.79736896999265938</v>
      </c>
      <c r="BG13" s="3">
        <f t="shared" si="12"/>
        <v>1.4917764601899766E-3</v>
      </c>
      <c r="BH13" s="3">
        <f t="shared" si="7"/>
        <v>7.4242038931687793E-4</v>
      </c>
      <c r="BI13" s="3">
        <f t="shared" si="7"/>
        <v>3.9762109050473782E-3</v>
      </c>
      <c r="BJ13" s="3">
        <f t="shared" si="7"/>
        <v>5.8466036733964832E-3</v>
      </c>
    </row>
    <row r="14" spans="1:62" x14ac:dyDescent="0.3">
      <c r="A14" s="27">
        <v>44173</v>
      </c>
      <c r="B14" s="3">
        <v>214.21438598632801</v>
      </c>
      <c r="C14" s="3">
        <v>123.617919921875</v>
      </c>
      <c r="D14" s="3">
        <v>3177.2900390625</v>
      </c>
      <c r="E14" s="3">
        <v>1811.32995605468</v>
      </c>
      <c r="F14" s="3">
        <v>649.88000488281205</v>
      </c>
      <c r="G14" s="3">
        <v>1818.55004882812</v>
      </c>
      <c r="H14" s="3">
        <v>283.39999389648398</v>
      </c>
      <c r="I14" s="3">
        <v>133.38349914550699</v>
      </c>
      <c r="J14" s="3">
        <v>228.19000244140599</v>
      </c>
      <c r="K14" s="3">
        <v>119.011352539062</v>
      </c>
      <c r="L14" s="3">
        <v>3702.25</v>
      </c>
      <c r="N14" s="3">
        <f t="shared" si="2"/>
        <v>-1.968219366047208E-2</v>
      </c>
      <c r="O14" s="3">
        <f t="shared" si="0"/>
        <v>-2.1125245747798616E-2</v>
      </c>
      <c r="P14" s="3">
        <f t="shared" si="0"/>
        <v>-2.3272626993330547E-2</v>
      </c>
      <c r="Q14" s="3">
        <f t="shared" si="0"/>
        <v>-1.8650972213302808E-2</v>
      </c>
      <c r="R14" s="3">
        <f t="shared" si="0"/>
        <v>-7.2419185972639966E-2</v>
      </c>
      <c r="S14" s="3">
        <f t="shared" si="0"/>
        <v>-1.9108602910401729E-2</v>
      </c>
      <c r="T14" s="3">
        <f t="shared" si="0"/>
        <v>-1.952595491192799E-2</v>
      </c>
      <c r="U14" s="3">
        <f t="shared" si="0"/>
        <v>-3.1908082018467177E-2</v>
      </c>
      <c r="V14" s="3">
        <f t="shared" si="0"/>
        <v>-2.9844566331345135E-3</v>
      </c>
      <c r="W14" s="3">
        <f t="shared" si="0"/>
        <v>-7.81735753616708E-3</v>
      </c>
      <c r="X14" s="3">
        <f t="shared" si="0"/>
        <v>-7.9809649484730016E-3</v>
      </c>
      <c r="Z14" s="3" t="s">
        <v>10</v>
      </c>
      <c r="AK14" s="3"/>
      <c r="AL14" s="8"/>
      <c r="AW14" s="3"/>
      <c r="AY14" s="5"/>
      <c r="AZ14" s="28">
        <f t="shared" si="13"/>
        <v>44169</v>
      </c>
      <c r="BA14" s="3">
        <f t="shared" si="14"/>
        <v>9</v>
      </c>
      <c r="BB14" s="3">
        <f t="shared" si="8"/>
        <v>1.056444529984973</v>
      </c>
      <c r="BC14" s="3">
        <f t="shared" si="9"/>
        <v>1.0449907908988119</v>
      </c>
      <c r="BD14" s="3">
        <f t="shared" si="10"/>
        <v>1.1740295962376981</v>
      </c>
      <c r="BE14" s="3">
        <f t="shared" si="11"/>
        <v>0.80204452508183777</v>
      </c>
      <c r="BG14" s="3">
        <f t="shared" si="12"/>
        <v>9.5772633219627229E-3</v>
      </c>
      <c r="BH14" s="3">
        <f t="shared" si="7"/>
        <v>3.9743456596036605E-3</v>
      </c>
      <c r="BI14" s="3">
        <f t="shared" si="7"/>
        <v>6.1000716260720678E-3</v>
      </c>
      <c r="BJ14" s="3">
        <f t="shared" si="7"/>
        <v>3.3771165487053445E-3</v>
      </c>
    </row>
    <row r="15" spans="1:62" x14ac:dyDescent="0.3">
      <c r="A15" s="27">
        <v>44174</v>
      </c>
      <c r="B15" s="3">
        <v>210.03939819335901</v>
      </c>
      <c r="C15" s="3">
        <v>121.033851623535</v>
      </c>
      <c r="D15" s="3">
        <v>3104.19995117187</v>
      </c>
      <c r="E15" s="3">
        <v>1777.85998535156</v>
      </c>
      <c r="F15" s="3">
        <v>604.47998046875</v>
      </c>
      <c r="G15" s="3">
        <v>1784.13000488281</v>
      </c>
      <c r="H15" s="3">
        <v>277.92001342773398</v>
      </c>
      <c r="I15" s="3">
        <v>129.19467163085901</v>
      </c>
      <c r="J15" s="3">
        <v>227.509994506835</v>
      </c>
      <c r="K15" s="3">
        <v>118.08462524414</v>
      </c>
      <c r="L15" s="3">
        <v>3672.82006835937</v>
      </c>
      <c r="N15" s="3">
        <f t="shared" si="2"/>
        <v>-6.0617893976386839E-3</v>
      </c>
      <c r="O15" s="3">
        <f t="shared" si="0"/>
        <v>1.1917559076274564E-2</v>
      </c>
      <c r="P15" s="3">
        <f t="shared" si="0"/>
        <v>-8.7337947443444364E-4</v>
      </c>
      <c r="Q15" s="3">
        <f t="shared" si="0"/>
        <v>-5.7593909659781062E-3</v>
      </c>
      <c r="R15" s="3">
        <f t="shared" si="0"/>
        <v>3.6689636822304195E-2</v>
      </c>
      <c r="S15" s="3">
        <f t="shared" si="0"/>
        <v>-4.9446078080217504E-3</v>
      </c>
      <c r="T15" s="3">
        <f t="shared" si="0"/>
        <v>-2.882743053678638E-3</v>
      </c>
      <c r="U15" s="3">
        <f t="shared" si="0"/>
        <v>3.2040636394601307E-3</v>
      </c>
      <c r="V15" s="3">
        <f t="shared" si="0"/>
        <v>-7.0346220684580629E-4</v>
      </c>
      <c r="W15" s="3">
        <f t="shared" si="0"/>
        <v>-6.4644895282173209E-3</v>
      </c>
      <c r="X15" s="3">
        <f t="shared" si="0"/>
        <v>-1.2859345277718148E-3</v>
      </c>
      <c r="Z15" s="6"/>
      <c r="AA15" s="6" t="s">
        <v>33</v>
      </c>
      <c r="AB15" s="6" t="s">
        <v>34</v>
      </c>
      <c r="AC15" s="6" t="s">
        <v>35</v>
      </c>
      <c r="AD15" s="6" t="s">
        <v>36</v>
      </c>
      <c r="AE15" s="6" t="s">
        <v>37</v>
      </c>
      <c r="AF15" s="6" t="s">
        <v>38</v>
      </c>
      <c r="AG15" s="6" t="s">
        <v>39</v>
      </c>
      <c r="AH15" s="6" t="s">
        <v>40</v>
      </c>
      <c r="AI15" s="6" t="s">
        <v>41</v>
      </c>
      <c r="AJ15" s="6" t="s">
        <v>42</v>
      </c>
      <c r="AK15" s="3"/>
      <c r="AL15" s="13" t="s">
        <v>25</v>
      </c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Y15" s="5"/>
      <c r="AZ15" s="28">
        <f t="shared" si="13"/>
        <v>44172</v>
      </c>
      <c r="BA15" s="3">
        <f t="shared" si="14"/>
        <v>10</v>
      </c>
      <c r="BB15" s="3">
        <f t="shared" si="8"/>
        <v>1.0666109831242316</v>
      </c>
      <c r="BC15" s="3">
        <f t="shared" si="9"/>
        <v>1.0491522094932981</v>
      </c>
      <c r="BD15" s="3">
        <f t="shared" si="10"/>
        <v>1.1812131486825901</v>
      </c>
      <c r="BE15" s="3">
        <f t="shared" si="11"/>
        <v>0.80475770169848715</v>
      </c>
      <c r="BG15" s="3">
        <f t="shared" si="12"/>
        <v>1.1736751624247255E-4</v>
      </c>
      <c r="BH15" s="3">
        <f t="shared" si="7"/>
        <v>7.6099969021151126E-6</v>
      </c>
      <c r="BI15" s="3">
        <f t="shared" si="7"/>
        <v>-1.1823470846074602E-3</v>
      </c>
      <c r="BJ15" s="3">
        <f t="shared" si="7"/>
        <v>-2.5826488424284255E-3</v>
      </c>
    </row>
    <row r="16" spans="1:62" x14ac:dyDescent="0.3">
      <c r="A16" s="27">
        <v>44175</v>
      </c>
      <c r="B16" s="3">
        <v>208.77003479003901</v>
      </c>
      <c r="C16" s="3">
        <v>122.484909057617</v>
      </c>
      <c r="D16" s="3">
        <v>3101.48999023437</v>
      </c>
      <c r="E16" s="3">
        <v>1767.65002441406</v>
      </c>
      <c r="F16" s="3">
        <v>627.07000732421795</v>
      </c>
      <c r="G16" s="3">
        <v>1775.32995605468</v>
      </c>
      <c r="H16" s="3">
        <v>277.11999511718699</v>
      </c>
      <c r="I16" s="3">
        <v>129.609283447265</v>
      </c>
      <c r="J16" s="3">
        <v>227.350006103515</v>
      </c>
      <c r="K16" s="3">
        <v>117.32373046875</v>
      </c>
      <c r="L16" s="3">
        <v>3668.10009765625</v>
      </c>
      <c r="N16" s="3">
        <f t="shared" si="2"/>
        <v>1.2931348799123832E-2</v>
      </c>
      <c r="O16" s="3">
        <f t="shared" si="0"/>
        <v>-6.7575947467686248E-3</v>
      </c>
      <c r="P16" s="3">
        <f t="shared" si="0"/>
        <v>4.8022440157335922E-3</v>
      </c>
      <c r="Q16" s="3">
        <f t="shared" si="0"/>
        <v>4.0367734057982219E-3</v>
      </c>
      <c r="R16" s="3">
        <f t="shared" si="0"/>
        <v>-2.7615641243742495E-2</v>
      </c>
      <c r="S16" s="3">
        <f t="shared" si="0"/>
        <v>3.620966831008765E-3</v>
      </c>
      <c r="T16" s="3">
        <f t="shared" si="0"/>
        <v>-1.2966231868886346E-2</v>
      </c>
      <c r="U16" s="3">
        <f t="shared" si="0"/>
        <v>3.1556897053901523E-3</v>
      </c>
      <c r="V16" s="3">
        <f t="shared" si="0"/>
        <v>-4.2315340711631677E-3</v>
      </c>
      <c r="W16" s="3">
        <f t="shared" si="0"/>
        <v>-5.9209178181021116E-3</v>
      </c>
      <c r="X16" s="3">
        <f t="shared" si="0"/>
        <v>-1.2657980842316618E-3</v>
      </c>
      <c r="Z16" s="6" t="s">
        <v>33</v>
      </c>
      <c r="AA16" s="18">
        <f t="array" ref="AA16:AJ25">eigenvalue(AA3:AJ12)</f>
        <v>4.6608447513825277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20">
        <v>0</v>
      </c>
      <c r="AK16" s="3"/>
      <c r="AL16" s="13" t="s">
        <v>12</v>
      </c>
      <c r="AM16" s="14" t="s">
        <v>33</v>
      </c>
      <c r="AN16" s="14" t="s">
        <v>34</v>
      </c>
      <c r="AO16" s="14" t="s">
        <v>35</v>
      </c>
      <c r="AP16" s="14" t="s">
        <v>36</v>
      </c>
      <c r="AQ16" s="14" t="s">
        <v>37</v>
      </c>
      <c r="AR16" s="14" t="s">
        <v>38</v>
      </c>
      <c r="AS16" s="14" t="s">
        <v>39</v>
      </c>
      <c r="AT16" s="14" t="s">
        <v>40</v>
      </c>
      <c r="AU16" s="14" t="s">
        <v>41</v>
      </c>
      <c r="AV16" s="14" t="s">
        <v>42</v>
      </c>
      <c r="AW16" s="14" t="s">
        <v>14</v>
      </c>
      <c r="AY16" s="5"/>
      <c r="AZ16" s="28">
        <f t="shared" si="13"/>
        <v>44173</v>
      </c>
      <c r="BA16" s="3">
        <f t="shared" si="14"/>
        <v>11</v>
      </c>
      <c r="BB16" s="3">
        <f t="shared" si="8"/>
        <v>1.0667361759527598</v>
      </c>
      <c r="BC16" s="3">
        <f t="shared" si="9"/>
        <v>1.0491601935687416</v>
      </c>
      <c r="BD16" s="3">
        <f t="shared" si="10"/>
        <v>1.1798173700699337</v>
      </c>
      <c r="BE16" s="3">
        <f t="shared" si="11"/>
        <v>0.80268197673986097</v>
      </c>
      <c r="BG16" s="3">
        <f t="shared" si="12"/>
        <v>-2.4786721025410491E-2</v>
      </c>
      <c r="BH16" s="3">
        <f t="shared" si="7"/>
        <v>-1.9628562848067681E-2</v>
      </c>
      <c r="BI16" s="3">
        <f t="shared" si="7"/>
        <v>-2.1376607773162332E-2</v>
      </c>
      <c r="BJ16" s="3">
        <f t="shared" si="7"/>
        <v>-1.9548816470622704E-2</v>
      </c>
    </row>
    <row r="17" spans="1:62" x14ac:dyDescent="0.3">
      <c r="A17" s="27">
        <v>44176</v>
      </c>
      <c r="B17" s="3">
        <v>211.48724365234301</v>
      </c>
      <c r="C17" s="3">
        <v>121.65999603271401</v>
      </c>
      <c r="D17" s="3">
        <v>3116.419921875</v>
      </c>
      <c r="E17" s="3">
        <v>1774.80004882812</v>
      </c>
      <c r="F17" s="3">
        <v>609.989990234375</v>
      </c>
      <c r="G17" s="3">
        <v>1781.77001953125</v>
      </c>
      <c r="H17" s="3">
        <v>273.54998779296801</v>
      </c>
      <c r="I17" s="3">
        <v>130.01893615722599</v>
      </c>
      <c r="J17" s="3">
        <v>226.38999938964801</v>
      </c>
      <c r="K17" s="3">
        <v>116.63111877441401</v>
      </c>
      <c r="L17" s="3">
        <v>3663.4599609375</v>
      </c>
      <c r="N17" s="3">
        <f t="shared" si="2"/>
        <v>4.398025644634096E-3</v>
      </c>
      <c r="O17" s="3">
        <f t="shared" si="0"/>
        <v>-5.1599643295059394E-3</v>
      </c>
      <c r="P17" s="3">
        <f t="shared" si="0"/>
        <v>1.2927815511662999E-2</v>
      </c>
      <c r="Q17" s="3">
        <f t="shared" si="0"/>
        <v>-1.2781379131138415E-2</v>
      </c>
      <c r="R17" s="3">
        <f t="shared" si="0"/>
        <v>4.7759995198246585E-2</v>
      </c>
      <c r="S17" s="3">
        <f t="shared" si="0"/>
        <v>-1.2259330549039937E-2</v>
      </c>
      <c r="T17" s="3">
        <f t="shared" si="0"/>
        <v>2.336929751786343E-3</v>
      </c>
      <c r="U17" s="3">
        <f t="shared" si="0"/>
        <v>2.2453543720832414E-2</v>
      </c>
      <c r="V17" s="3">
        <f t="shared" si="0"/>
        <v>-1.5760246265185351E-2</v>
      </c>
      <c r="W17" s="3">
        <f t="shared" si="0"/>
        <v>-1.0594566741051636E-2</v>
      </c>
      <c r="X17" s="3">
        <f t="shared" si="0"/>
        <v>-4.368788245148636E-3</v>
      </c>
      <c r="Z17" s="6" t="s">
        <v>34</v>
      </c>
      <c r="AA17" s="21">
        <v>0</v>
      </c>
      <c r="AB17" s="22">
        <v>1.6832657767821888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3">
        <v>0</v>
      </c>
      <c r="AK17" s="3"/>
      <c r="AL17" s="3">
        <v>1</v>
      </c>
      <c r="AM17" s="5">
        <f>VLOOKUP(AM$16,$Z$57:$AJ$66,$AL17+1,FALSE)</f>
        <v>-0.38538079035452777</v>
      </c>
      <c r="AN17" s="5">
        <f t="shared" ref="AN17:AV17" si="20">VLOOKUP(AN$16,$Z$57:$AJ$66,$AL17+1,FALSE)</f>
        <v>-0.35474262634983084</v>
      </c>
      <c r="AO17" s="5">
        <f t="shared" si="20"/>
        <v>-0.34685955686831221</v>
      </c>
      <c r="AP17" s="5">
        <f t="shared" si="20"/>
        <v>-0.40575196470633157</v>
      </c>
      <c r="AQ17" s="5">
        <f t="shared" si="20"/>
        <v>-0.20724003724728751</v>
      </c>
      <c r="AR17" s="5">
        <f t="shared" si="20"/>
        <v>-0.40228713650284614</v>
      </c>
      <c r="AS17" s="5">
        <f t="shared" si="20"/>
        <v>-0.33602784937080621</v>
      </c>
      <c r="AT17" s="5">
        <f t="shared" si="20"/>
        <v>-0.30640725517281342</v>
      </c>
      <c r="AU17" s="5">
        <f t="shared" si="20"/>
        <v>-0.14645677112819019</v>
      </c>
      <c r="AV17" s="5">
        <f t="shared" si="20"/>
        <v>-8.7521573361630536E-2</v>
      </c>
      <c r="AW17" s="5">
        <f>SUMPRODUCT($AM17:$AV17,$AM$21:$AV$21)</f>
        <v>-0.2978675561062577</v>
      </c>
      <c r="AY17" s="5"/>
      <c r="AZ17" s="28">
        <f t="shared" si="13"/>
        <v>44174</v>
      </c>
      <c r="BA17" s="3">
        <f t="shared" si="14"/>
        <v>12</v>
      </c>
      <c r="BB17" s="3">
        <f t="shared" si="8"/>
        <v>1.0406202846870372</v>
      </c>
      <c r="BC17" s="3">
        <f t="shared" si="9"/>
        <v>1.0287674813271499</v>
      </c>
      <c r="BD17" s="3">
        <f t="shared" si="10"/>
        <v>1.1548645306322856</v>
      </c>
      <c r="BE17" s="3">
        <f t="shared" si="11"/>
        <v>0.78714287448194609</v>
      </c>
      <c r="BG17" s="3">
        <f t="shared" si="12"/>
        <v>3.2029811415546297E-3</v>
      </c>
      <c r="BH17" s="3">
        <f t="shared" si="7"/>
        <v>3.5786943155253353E-4</v>
      </c>
      <c r="BI17" s="3">
        <f t="shared" si="7"/>
        <v>4.3802949130297142E-3</v>
      </c>
      <c r="BJ17" s="3">
        <f t="shared" si="7"/>
        <v>5.8451563867971124E-3</v>
      </c>
    </row>
    <row r="18" spans="1:62" x14ac:dyDescent="0.3">
      <c r="A18" s="27">
        <v>44179</v>
      </c>
      <c r="B18" s="3">
        <v>212.41941833496</v>
      </c>
      <c r="C18" s="3">
        <v>121.033851623535</v>
      </c>
      <c r="D18" s="3">
        <v>3156.96997070312</v>
      </c>
      <c r="E18" s="3">
        <v>1752.26000976562</v>
      </c>
      <c r="F18" s="3">
        <v>639.83001708984295</v>
      </c>
      <c r="G18" s="3">
        <v>1760.06005859375</v>
      </c>
      <c r="H18" s="3">
        <v>274.19000244140602</v>
      </c>
      <c r="I18" s="3">
        <v>132.97134399414</v>
      </c>
      <c r="J18" s="3">
        <v>222.850006103515</v>
      </c>
      <c r="K18" s="3">
        <v>115.401985168457</v>
      </c>
      <c r="L18" s="3">
        <v>3647.48999023437</v>
      </c>
      <c r="N18" s="3">
        <f t="shared" si="2"/>
        <v>-3.2675125274028716E-4</v>
      </c>
      <c r="O18" s="3">
        <f t="shared" si="0"/>
        <v>4.8876101484479406E-2</v>
      </c>
      <c r="P18" s="3">
        <f t="shared" si="0"/>
        <v>2.5783090357887062E-3</v>
      </c>
      <c r="Q18" s="3">
        <f t="shared" si="0"/>
        <v>5.0208433588911916E-3</v>
      </c>
      <c r="R18" s="3">
        <f t="shared" si="0"/>
        <v>-1.0337253897338528E-2</v>
      </c>
      <c r="S18" s="3">
        <f t="shared" si="0"/>
        <v>4.3709436348988717E-3</v>
      </c>
      <c r="T18" s="3">
        <f t="shared" si="0"/>
        <v>4.9477503915174026E-3</v>
      </c>
      <c r="U18" s="3">
        <f t="shared" si="0"/>
        <v>3.8809612361543344E-3</v>
      </c>
      <c r="V18" s="3">
        <f t="shared" si="0"/>
        <v>6.8421380971601664E-3</v>
      </c>
      <c r="W18" s="3">
        <f t="shared" si="0"/>
        <v>1.6931125822454263E-2</v>
      </c>
      <c r="X18" s="3">
        <f t="shared" si="0"/>
        <v>1.2838482022219821E-2</v>
      </c>
      <c r="Z18" s="6" t="s">
        <v>35</v>
      </c>
      <c r="AA18" s="21">
        <v>0</v>
      </c>
      <c r="AB18" s="22">
        <v>0</v>
      </c>
      <c r="AC18" s="22">
        <v>0.95842052424187862</v>
      </c>
      <c r="AD18" s="22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3">
        <v>0</v>
      </c>
      <c r="AK18" s="3"/>
      <c r="AL18" s="3">
        <v>2</v>
      </c>
      <c r="AM18" s="5">
        <f t="shared" ref="AM18:AV20" si="21">VLOOKUP(AM$16,$Z$57:$AJ$66,$AL18+1,FALSE)</f>
        <v>-9.7418718557065853E-2</v>
      </c>
      <c r="AN18" s="5">
        <f t="shared" si="21"/>
        <v>-7.3820046252953408E-2</v>
      </c>
      <c r="AO18" s="5">
        <f t="shared" si="21"/>
        <v>-0.16950880518835493</v>
      </c>
      <c r="AP18" s="5">
        <f t="shared" si="21"/>
        <v>5.7416745067922249E-2</v>
      </c>
      <c r="AQ18" s="5">
        <f t="shared" si="21"/>
        <v>-0.10418044959252988</v>
      </c>
      <c r="AR18" s="5">
        <f t="shared" si="21"/>
        <v>6.9776125948091211E-2</v>
      </c>
      <c r="AS18" s="5">
        <f t="shared" si="21"/>
        <v>-4.3927031152229831E-2</v>
      </c>
      <c r="AT18" s="5">
        <f t="shared" si="21"/>
        <v>-0.1608126650960659</v>
      </c>
      <c r="AU18" s="5">
        <f t="shared" si="21"/>
        <v>0.65795555840672304</v>
      </c>
      <c r="AV18" s="5">
        <f t="shared" si="21"/>
        <v>0.69037105125161202</v>
      </c>
      <c r="AW18" s="5">
        <f t="shared" ref="AW18:AW20" si="22">SUMPRODUCT($AM18:$AV18,$AM$21:$AV$21)</f>
        <v>8.2585176483514877E-2</v>
      </c>
      <c r="AY18" s="5"/>
      <c r="AZ18" s="28">
        <f t="shared" si="13"/>
        <v>44175</v>
      </c>
      <c r="BA18" s="3">
        <f t="shared" si="14"/>
        <v>13</v>
      </c>
      <c r="BB18" s="3">
        <f t="shared" si="8"/>
        <v>1.043958715445686</v>
      </c>
      <c r="BC18" s="3">
        <f t="shared" si="9"/>
        <v>1.0291357116461497</v>
      </c>
      <c r="BD18" s="3">
        <f t="shared" si="10"/>
        <v>1.1599342732388411</v>
      </c>
      <c r="BE18" s="3">
        <f t="shared" si="11"/>
        <v>0.7917573206236812</v>
      </c>
      <c r="BG18" s="3">
        <f t="shared" si="12"/>
        <v>-3.5344410305299043E-3</v>
      </c>
      <c r="BH18" s="3">
        <f t="shared" si="7"/>
        <v>-1.6132566346101218E-3</v>
      </c>
      <c r="BI18" s="3">
        <f t="shared" si="7"/>
        <v>-4.0327618090572614E-3</v>
      </c>
      <c r="BJ18" s="3">
        <f t="shared" si="7"/>
        <v>-3.7160831892933399E-3</v>
      </c>
    </row>
    <row r="19" spans="1:62" x14ac:dyDescent="0.3">
      <c r="A19" s="27">
        <v>44180</v>
      </c>
      <c r="B19" s="3">
        <v>212.35002136230401</v>
      </c>
      <c r="C19" s="3">
        <v>127.096466064453</v>
      </c>
      <c r="D19" s="3">
        <v>3165.1201171875</v>
      </c>
      <c r="E19" s="3">
        <v>1761.07995605468</v>
      </c>
      <c r="F19" s="3">
        <v>633.25</v>
      </c>
      <c r="G19" s="3">
        <v>1767.77001953125</v>
      </c>
      <c r="H19" s="3">
        <v>275.54998779296801</v>
      </c>
      <c r="I19" s="3">
        <v>133.48840332031199</v>
      </c>
      <c r="J19" s="3">
        <v>224.38000488281199</v>
      </c>
      <c r="K19" s="3">
        <v>117.372505187988</v>
      </c>
      <c r="L19" s="3">
        <v>3694.6201171875</v>
      </c>
      <c r="N19" s="3">
        <f t="shared" si="2"/>
        <v>2.3766088042708411E-2</v>
      </c>
      <c r="O19" s="3">
        <f t="shared" ref="O19:O82" si="23">LN(C20)-LN(C19)</f>
        <v>-5.4748858249542565E-4</v>
      </c>
      <c r="P19" s="3">
        <f t="shared" ref="P19:P82" si="24">LN(D20)-LN(D19)</f>
        <v>2.3678563566699395E-2</v>
      </c>
      <c r="Q19" s="3">
        <f t="shared" ref="Q19:Q82" si="25">LN(E20)-LN(E19)</f>
        <v>-2.2113233759597506E-3</v>
      </c>
      <c r="R19" s="3">
        <f t="shared" ref="R19:R82" si="26">LN(F20)-LN(F19)</f>
        <v>-1.6687988277072741E-2</v>
      </c>
      <c r="S19" s="3">
        <f t="shared" ref="S19:S82" si="27">LN(G20)-LN(G19)</f>
        <v>-2.7019728880031124E-3</v>
      </c>
      <c r="T19" s="3">
        <f t="shared" ref="T19:T82" si="28">LN(H20)-LN(H19)</f>
        <v>4.3549086171434936E-4</v>
      </c>
      <c r="U19" s="3">
        <f t="shared" ref="U19:U82" si="29">LN(I20)-LN(I19)</f>
        <v>-8.8711236968537222E-3</v>
      </c>
      <c r="V19" s="3">
        <f t="shared" ref="V19:V82" si="30">LN(J20)-LN(J19)</f>
        <v>-1.1069154107606671E-2</v>
      </c>
      <c r="W19" s="3">
        <f t="shared" ref="W19:W82" si="31">LN(K20)-LN(K19)</f>
        <v>2.9046616579710971E-3</v>
      </c>
      <c r="X19" s="3">
        <f t="shared" ref="X19:X82" si="32">LN(L20)-LN(L19)</f>
        <v>1.7712256203239463E-3</v>
      </c>
      <c r="Z19" s="6" t="s">
        <v>36</v>
      </c>
      <c r="AA19" s="21">
        <v>0</v>
      </c>
      <c r="AB19" s="22">
        <v>0</v>
      </c>
      <c r="AC19" s="22">
        <v>0</v>
      </c>
      <c r="AD19" s="22">
        <v>2.1644798402232501E-2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3">
        <v>0</v>
      </c>
      <c r="AK19" s="3"/>
      <c r="AL19" s="3">
        <v>3</v>
      </c>
      <c r="AM19" s="5">
        <f t="shared" si="21"/>
        <v>7.7517506607752987E-2</v>
      </c>
      <c r="AN19" s="5">
        <f t="shared" si="21"/>
        <v>-0.13920107739773982</v>
      </c>
      <c r="AO19" s="5">
        <f t="shared" si="21"/>
        <v>2.4132571758131993E-2</v>
      </c>
      <c r="AP19" s="5">
        <f t="shared" si="21"/>
        <v>0.34324832433735836</v>
      </c>
      <c r="AQ19" s="5">
        <f t="shared" si="21"/>
        <v>-0.77423684453374808</v>
      </c>
      <c r="AR19" s="5">
        <f t="shared" si="21"/>
        <v>0.3430941733919094</v>
      </c>
      <c r="AS19" s="5">
        <f t="shared" si="21"/>
        <v>5.7531390850595991E-2</v>
      </c>
      <c r="AT19" s="5">
        <f t="shared" si="21"/>
        <v>-0.31829632893325011</v>
      </c>
      <c r="AU19" s="5">
        <f t="shared" si="21"/>
        <v>-9.1303776504543951E-2</v>
      </c>
      <c r="AV19" s="5">
        <f t="shared" si="21"/>
        <v>-0.16154629751847444</v>
      </c>
      <c r="AW19" s="5">
        <f t="shared" si="22"/>
        <v>-6.3906035794200775E-2</v>
      </c>
      <c r="AY19" s="5"/>
      <c r="AZ19" s="28">
        <f t="shared" si="13"/>
        <v>44176</v>
      </c>
      <c r="BA19" s="3">
        <f t="shared" si="14"/>
        <v>14</v>
      </c>
      <c r="BB19" s="3">
        <f t="shared" si="8"/>
        <v>1.0402754179609102</v>
      </c>
      <c r="BC19" s="3">
        <f t="shared" si="9"/>
        <v>1.0274767901242901</v>
      </c>
      <c r="BD19" s="3">
        <f t="shared" si="10"/>
        <v>1.1552659540372046</v>
      </c>
      <c r="BE19" s="3">
        <f t="shared" si="11"/>
        <v>0.78882054458610495</v>
      </c>
      <c r="BG19" s="3">
        <f t="shared" si="12"/>
        <v>4.4171825708529816E-3</v>
      </c>
      <c r="BH19" s="3">
        <f t="shared" si="7"/>
        <v>-7.5023954649944616E-4</v>
      </c>
      <c r="BI19" s="3">
        <f t="shared" si="7"/>
        <v>4.9400617658005852E-3</v>
      </c>
      <c r="BJ19" s="3">
        <f t="shared" si="7"/>
        <v>7.7704223206514766E-3</v>
      </c>
    </row>
    <row r="20" spans="1:62" x14ac:dyDescent="0.3">
      <c r="A20" s="27">
        <v>44181</v>
      </c>
      <c r="B20" s="3">
        <v>217.45719909667901</v>
      </c>
      <c r="C20" s="3">
        <v>127.026901245117</v>
      </c>
      <c r="D20" s="3">
        <v>3240.9599609375</v>
      </c>
      <c r="E20" s="3">
        <v>1757.18994140625</v>
      </c>
      <c r="F20" s="3">
        <v>622.77001953125</v>
      </c>
      <c r="G20" s="3">
        <v>1763</v>
      </c>
      <c r="H20" s="3">
        <v>275.67001342773398</v>
      </c>
      <c r="I20" s="3">
        <v>132.30944824218699</v>
      </c>
      <c r="J20" s="3">
        <v>221.91000366210901</v>
      </c>
      <c r="K20" s="3">
        <v>117.71392822265599</v>
      </c>
      <c r="L20" s="3">
        <v>3701.169921875</v>
      </c>
      <c r="N20" s="3">
        <f t="shared" si="2"/>
        <v>6.3833557924741768E-4</v>
      </c>
      <c r="O20" s="3">
        <f t="shared" si="23"/>
        <v>6.939248880797777E-3</v>
      </c>
      <c r="P20" s="3">
        <f t="shared" si="24"/>
        <v>-1.5068252493097845E-3</v>
      </c>
      <c r="Q20" s="3">
        <f t="shared" si="25"/>
        <v>-9.5377295472403034E-3</v>
      </c>
      <c r="R20" s="3">
        <f t="shared" si="26"/>
        <v>5.1831074917209286E-2</v>
      </c>
      <c r="S20" s="3">
        <f t="shared" si="27"/>
        <v>-8.6018220891768138E-3</v>
      </c>
      <c r="T20" s="3">
        <f t="shared" si="28"/>
        <v>-4.3261083141885592E-3</v>
      </c>
      <c r="U20" s="3">
        <f t="shared" si="29"/>
        <v>7.429347120094576E-3</v>
      </c>
      <c r="V20" s="3">
        <f t="shared" si="30"/>
        <v>1.2405224295221728E-2</v>
      </c>
      <c r="W20" s="3">
        <f t="shared" si="31"/>
        <v>-8.321520034297869E-3</v>
      </c>
      <c r="X20" s="3">
        <f t="shared" si="32"/>
        <v>5.7411428089828576E-3</v>
      </c>
      <c r="Z20" s="6" t="s">
        <v>37</v>
      </c>
      <c r="AA20" s="21">
        <v>0</v>
      </c>
      <c r="AB20" s="22">
        <v>0</v>
      </c>
      <c r="AC20" s="22">
        <v>0</v>
      </c>
      <c r="AD20" s="22">
        <v>0</v>
      </c>
      <c r="AE20" s="22">
        <v>0.22679548118452963</v>
      </c>
      <c r="AF20" s="22">
        <v>0</v>
      </c>
      <c r="AG20" s="22">
        <v>0</v>
      </c>
      <c r="AH20" s="22">
        <v>0</v>
      </c>
      <c r="AI20" s="22">
        <v>0</v>
      </c>
      <c r="AJ20" s="23">
        <v>0</v>
      </c>
      <c r="AK20" s="3"/>
      <c r="AL20" s="3">
        <v>4</v>
      </c>
      <c r="AM20" s="5">
        <f t="shared" si="21"/>
        <v>-0.13701000672298594</v>
      </c>
      <c r="AN20" s="5">
        <f t="shared" si="21"/>
        <v>-0.3042287900415957</v>
      </c>
      <c r="AO20" s="5">
        <f t="shared" si="21"/>
        <v>-0.3247853129341457</v>
      </c>
      <c r="AP20" s="5">
        <f t="shared" si="21"/>
        <v>0.28415278770346641</v>
      </c>
      <c r="AQ20" s="5">
        <f t="shared" si="21"/>
        <v>0.52765760664285144</v>
      </c>
      <c r="AR20" s="5">
        <f t="shared" si="21"/>
        <v>0.30192633003262564</v>
      </c>
      <c r="AS20" s="5">
        <f t="shared" si="21"/>
        <v>0.29053312019921385</v>
      </c>
      <c r="AT20" s="5">
        <f t="shared" si="21"/>
        <v>-0.46176627420519228</v>
      </c>
      <c r="AU20" s="5">
        <f t="shared" si="21"/>
        <v>-0.1869049623974349</v>
      </c>
      <c r="AV20" s="5">
        <f t="shared" si="21"/>
        <v>-1.7078805589308285E-2</v>
      </c>
      <c r="AW20" s="5">
        <f t="shared" si="22"/>
        <v>-2.7504307312505322E-3</v>
      </c>
      <c r="AY20" s="5"/>
      <c r="AZ20" s="28">
        <f t="shared" si="13"/>
        <v>44179</v>
      </c>
      <c r="BA20" s="3">
        <f t="shared" si="14"/>
        <v>15</v>
      </c>
      <c r="BB20" s="3">
        <f t="shared" si="8"/>
        <v>1.0448806680332479</v>
      </c>
      <c r="BC20" s="3">
        <f t="shared" si="9"/>
        <v>1.0267062254934014</v>
      </c>
      <c r="BD20" s="3">
        <f t="shared" si="10"/>
        <v>1.1609871591242076</v>
      </c>
      <c r="BE20" s="3">
        <f t="shared" si="11"/>
        <v>0.79497388943555403</v>
      </c>
      <c r="BG20" s="3">
        <f t="shared" si="12"/>
        <v>7.9801929482429812E-3</v>
      </c>
      <c r="BH20" s="3">
        <f t="shared" si="7"/>
        <v>9.1821591249089084E-3</v>
      </c>
      <c r="BI20" s="3">
        <f t="shared" si="7"/>
        <v>1.2845576528647706E-2</v>
      </c>
      <c r="BJ20" s="3">
        <f t="shared" si="7"/>
        <v>1.7385797089478378E-2</v>
      </c>
    </row>
    <row r="21" spans="1:62" x14ac:dyDescent="0.3">
      <c r="A21" s="27">
        <v>44182</v>
      </c>
      <c r="B21" s="3">
        <v>217.59605407714801</v>
      </c>
      <c r="C21" s="3">
        <v>127.91143798828099</v>
      </c>
      <c r="D21" s="3">
        <v>3236.080078125</v>
      </c>
      <c r="E21" s="3">
        <v>1740.51000976562</v>
      </c>
      <c r="F21" s="3">
        <v>655.90002441406205</v>
      </c>
      <c r="G21" s="3">
        <v>1747.90002441406</v>
      </c>
      <c r="H21" s="3">
        <v>274.48001098632801</v>
      </c>
      <c r="I21" s="3">
        <v>133.29608154296801</v>
      </c>
      <c r="J21" s="3">
        <v>224.67999267578099</v>
      </c>
      <c r="K21" s="3">
        <v>116.73843383789</v>
      </c>
      <c r="L21" s="3">
        <v>3722.47998046875</v>
      </c>
      <c r="N21" s="3">
        <f t="shared" si="2"/>
        <v>-3.7898921762815618E-3</v>
      </c>
      <c r="O21" s="3">
        <f t="shared" si="23"/>
        <v>-1.59776280558237E-2</v>
      </c>
      <c r="P21" s="3">
        <f t="shared" si="24"/>
        <v>-1.0696473496452086E-2</v>
      </c>
      <c r="Q21" s="3">
        <f t="shared" si="25"/>
        <v>-8.2441494314906549E-3</v>
      </c>
      <c r="R21" s="3">
        <f t="shared" si="26"/>
        <v>5.7903470042870886E-2</v>
      </c>
      <c r="S21" s="3">
        <f t="shared" si="27"/>
        <v>-9.7100225000872342E-3</v>
      </c>
      <c r="T21" s="3">
        <f t="shared" si="28"/>
        <v>6.9706312351662802E-3</v>
      </c>
      <c r="U21" s="3">
        <f t="shared" si="29"/>
        <v>-5.2042925355682002E-3</v>
      </c>
      <c r="V21" s="3">
        <f t="shared" si="30"/>
        <v>-5.5790019552119929E-3</v>
      </c>
      <c r="W21" s="3">
        <f t="shared" si="31"/>
        <v>-4.9424145192036306E-3</v>
      </c>
      <c r="X21" s="3">
        <f t="shared" si="32"/>
        <v>-3.5172969521504172E-3</v>
      </c>
      <c r="Z21" s="6" t="s">
        <v>38</v>
      </c>
      <c r="AA21" s="21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0.30613487932526956</v>
      </c>
      <c r="AG21" s="22">
        <v>0</v>
      </c>
      <c r="AH21" s="22">
        <v>0</v>
      </c>
      <c r="AI21" s="22">
        <v>0</v>
      </c>
      <c r="AJ21" s="23">
        <v>0</v>
      </c>
      <c r="AK21" s="3"/>
      <c r="AL21" s="8" t="s">
        <v>29</v>
      </c>
      <c r="AM21" s="3">
        <v>0.1</v>
      </c>
      <c r="AN21" s="3">
        <v>0.1</v>
      </c>
      <c r="AO21" s="3">
        <v>0.1</v>
      </c>
      <c r="AP21" s="3">
        <v>0.1</v>
      </c>
      <c r="AQ21" s="3">
        <v>0.1</v>
      </c>
      <c r="AR21" s="3">
        <v>0.1</v>
      </c>
      <c r="AS21" s="3">
        <v>0.1</v>
      </c>
      <c r="AT21" s="3">
        <v>0.1</v>
      </c>
      <c r="AU21" s="3">
        <v>0.1</v>
      </c>
      <c r="AV21" s="3">
        <v>0.1</v>
      </c>
      <c r="AW21" s="3"/>
      <c r="AY21" s="5"/>
      <c r="AZ21" s="28">
        <f t="shared" si="13"/>
        <v>44180</v>
      </c>
      <c r="BA21" s="3">
        <f t="shared" si="14"/>
        <v>16</v>
      </c>
      <c r="BB21" s="3">
        <f t="shared" si="8"/>
        <v>1.0532523768697044</v>
      </c>
      <c r="BC21" s="3">
        <f t="shared" si="9"/>
        <v>1.036177020060046</v>
      </c>
      <c r="BD21" s="3">
        <f t="shared" si="10"/>
        <v>1.1759969065606881</v>
      </c>
      <c r="BE21" s="3">
        <f t="shared" si="11"/>
        <v>0.80891599025320693</v>
      </c>
      <c r="BG21" s="3">
        <f t="shared" si="12"/>
        <v>5.2857550265971581E-4</v>
      </c>
      <c r="BH21" s="3">
        <f t="shared" ref="BH21:BH84" si="33">LN(BC22)-LN(BC21)</f>
        <v>1.9868028651140318E-3</v>
      </c>
      <c r="BI21" s="3">
        <f t="shared" ref="BI21:BI84" si="34">LN(BD22)-LN(BD21)</f>
        <v>-8.7275360468241914E-4</v>
      </c>
      <c r="BJ21" s="3">
        <f t="shared" ref="BJ21:BJ84" si="35">LN(BE22)-LN(BE21)</f>
        <v>-7.3146214889927008E-4</v>
      </c>
    </row>
    <row r="22" spans="1:62" x14ac:dyDescent="0.3">
      <c r="A22" s="27">
        <v>44183</v>
      </c>
      <c r="B22" s="3">
        <v>216.77294921875</v>
      </c>
      <c r="C22" s="3">
        <v>125.88395690917901</v>
      </c>
      <c r="D22" s="3">
        <v>3201.64990234375</v>
      </c>
      <c r="E22" s="3">
        <v>1726.21997070312</v>
      </c>
      <c r="F22" s="3">
        <v>695</v>
      </c>
      <c r="G22" s="3">
        <v>1731.01000976562</v>
      </c>
      <c r="H22" s="3">
        <v>276.39999389648398</v>
      </c>
      <c r="I22" s="3">
        <v>132.60417175292901</v>
      </c>
      <c r="J22" s="3">
        <v>223.42999267578099</v>
      </c>
      <c r="K22" s="3">
        <v>116.162887573242</v>
      </c>
      <c r="L22" s="3">
        <v>3709.40991210937</v>
      </c>
      <c r="N22" s="3">
        <f t="shared" si="2"/>
        <v>1.8133691912211702E-2</v>
      </c>
      <c r="O22" s="3">
        <f t="shared" si="23"/>
        <v>1.2319122842023411E-2</v>
      </c>
      <c r="P22" s="3">
        <f t="shared" si="24"/>
        <v>1.413904603870364E-3</v>
      </c>
      <c r="Q22" s="3">
        <f t="shared" si="25"/>
        <v>4.819782803445527E-3</v>
      </c>
      <c r="R22" s="3">
        <f t="shared" si="26"/>
        <v>-6.715491303000487E-2</v>
      </c>
      <c r="S22" s="3">
        <f t="shared" si="27"/>
        <v>4.8179170644226943E-3</v>
      </c>
      <c r="T22" s="3">
        <f t="shared" si="28"/>
        <v>-1.3146770081226222E-2</v>
      </c>
      <c r="U22" s="3">
        <f t="shared" si="29"/>
        <v>4.5293615460897385E-3</v>
      </c>
      <c r="V22" s="3">
        <f t="shared" si="30"/>
        <v>2.6856179177325856E-4</v>
      </c>
      <c r="W22" s="3">
        <f t="shared" si="31"/>
        <v>3.6850320322278307E-2</v>
      </c>
      <c r="X22" s="3">
        <f t="shared" si="32"/>
        <v>-3.9139284869076363E-3</v>
      </c>
      <c r="Z22" s="6" t="s">
        <v>39</v>
      </c>
      <c r="AA22" s="21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0.63281743606138419</v>
      </c>
      <c r="AH22" s="22">
        <v>0</v>
      </c>
      <c r="AI22" s="22">
        <v>0</v>
      </c>
      <c r="AJ22" s="23">
        <v>0</v>
      </c>
      <c r="AK22" s="3"/>
      <c r="AL22" s="8" t="s">
        <v>18</v>
      </c>
      <c r="AW22" s="3"/>
      <c r="AY22" s="5"/>
      <c r="AZ22" s="28">
        <f t="shared" si="13"/>
        <v>44181</v>
      </c>
      <c r="BA22" s="3">
        <f t="shared" si="14"/>
        <v>17</v>
      </c>
      <c r="BB22" s="3">
        <f t="shared" si="8"/>
        <v>1.05380924743534</v>
      </c>
      <c r="BC22" s="3">
        <f t="shared" si="9"/>
        <v>1.0382377459824768</v>
      </c>
      <c r="BD22" s="3">
        <f t="shared" si="10"/>
        <v>1.174970998768873</v>
      </c>
      <c r="BE22" s="3">
        <f t="shared" si="11"/>
        <v>0.80832451517188608</v>
      </c>
      <c r="BG22" s="3">
        <f t="shared" si="12"/>
        <v>5.9300841357836365E-3</v>
      </c>
      <c r="BH22" s="3">
        <f t="shared" si="33"/>
        <v>2.7880424287179614E-3</v>
      </c>
      <c r="BI22" s="3">
        <f t="shared" si="34"/>
        <v>9.2768138031104064E-3</v>
      </c>
      <c r="BJ22" s="3">
        <f t="shared" si="35"/>
        <v>1.2418744666771536E-2</v>
      </c>
    </row>
    <row r="23" spans="1:62" x14ac:dyDescent="0.3">
      <c r="A23" s="27">
        <v>44186</v>
      </c>
      <c r="B23" s="3">
        <v>220.73970031738199</v>
      </c>
      <c r="C23" s="3">
        <v>127.444328308105</v>
      </c>
      <c r="D23" s="3">
        <v>3206.17993164062</v>
      </c>
      <c r="E23" s="3">
        <v>1734.56005859375</v>
      </c>
      <c r="F23" s="3">
        <v>649.85998535156205</v>
      </c>
      <c r="G23" s="3">
        <v>1739.36999511718</v>
      </c>
      <c r="H23" s="3">
        <v>272.79000854492102</v>
      </c>
      <c r="I23" s="3">
        <v>133.20614624023401</v>
      </c>
      <c r="J23" s="3">
        <v>223.49000549316401</v>
      </c>
      <c r="K23" s="3">
        <v>120.523376464843</v>
      </c>
      <c r="L23" s="3">
        <v>3694.919921875</v>
      </c>
      <c r="N23" s="3">
        <f t="shared" si="2"/>
        <v>6.0466339708273864E-3</v>
      </c>
      <c r="O23" s="3">
        <f t="shared" si="23"/>
        <v>2.8066860265949956E-2</v>
      </c>
      <c r="P23" s="3">
        <f t="shared" si="24"/>
        <v>1.0606699004789277E-4</v>
      </c>
      <c r="Q23" s="3">
        <f t="shared" si="25"/>
        <v>-8.3016401192104183E-3</v>
      </c>
      <c r="R23" s="3">
        <f t="shared" si="26"/>
        <v>-1.4757605305005583E-2</v>
      </c>
      <c r="S23" s="3">
        <f t="shared" si="27"/>
        <v>-9.1658689161082663E-3</v>
      </c>
      <c r="T23" s="3">
        <f t="shared" si="28"/>
        <v>-2.1116633187559408E-2</v>
      </c>
      <c r="U23" s="3">
        <f t="shared" si="29"/>
        <v>-4.0584900794868872E-3</v>
      </c>
      <c r="V23" s="3">
        <f t="shared" si="30"/>
        <v>-7.2299777087678763E-3</v>
      </c>
      <c r="W23" s="3">
        <f t="shared" si="31"/>
        <v>-1.5333478049216254E-2</v>
      </c>
      <c r="X23" s="3">
        <f t="shared" si="32"/>
        <v>-2.0752446917722267E-3</v>
      </c>
      <c r="Z23" s="6" t="s">
        <v>40</v>
      </c>
      <c r="AA23" s="21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0</v>
      </c>
      <c r="AG23" s="22">
        <v>0</v>
      </c>
      <c r="AH23" s="22">
        <v>0.43592969767935252</v>
      </c>
      <c r="AI23" s="22">
        <v>0</v>
      </c>
      <c r="AJ23" s="23">
        <v>0</v>
      </c>
      <c r="AK23" s="3"/>
      <c r="AL23" s="13" t="s">
        <v>12</v>
      </c>
      <c r="AM23" s="14" t="s">
        <v>33</v>
      </c>
      <c r="AN23" s="14" t="s">
        <v>34</v>
      </c>
      <c r="AO23" s="14" t="s">
        <v>35</v>
      </c>
      <c r="AP23" s="14" t="s">
        <v>36</v>
      </c>
      <c r="AQ23" s="14" t="s">
        <v>37</v>
      </c>
      <c r="AR23" s="14" t="s">
        <v>38</v>
      </c>
      <c r="AS23" s="14" t="s">
        <v>39</v>
      </c>
      <c r="AT23" s="14" t="s">
        <v>40</v>
      </c>
      <c r="AU23" s="14" t="s">
        <v>41</v>
      </c>
      <c r="AV23" s="14" t="s">
        <v>42</v>
      </c>
      <c r="AW23" s="14" t="s">
        <v>14</v>
      </c>
      <c r="AY23" s="5"/>
      <c r="AZ23" s="28">
        <f t="shared" si="13"/>
        <v>44182</v>
      </c>
      <c r="BA23" s="3">
        <f t="shared" si="14"/>
        <v>18</v>
      </c>
      <c r="BB23" s="3">
        <f t="shared" si="8"/>
        <v>1.0600769906905634</v>
      </c>
      <c r="BC23" s="3">
        <f t="shared" si="9"/>
        <v>1.0411364358268396</v>
      </c>
      <c r="BD23" s="3">
        <f t="shared" si="10"/>
        <v>1.1859217012283585</v>
      </c>
      <c r="BE23" s="3">
        <f t="shared" si="11"/>
        <v>0.81842548177796659</v>
      </c>
      <c r="BG23" s="3">
        <f t="shared" si="12"/>
        <v>1.9475859590218983E-3</v>
      </c>
      <c r="BH23" s="3">
        <f t="shared" si="33"/>
        <v>-2.7234394586974423E-3</v>
      </c>
      <c r="BI23" s="3">
        <f t="shared" si="34"/>
        <v>-9.5082472786159333E-4</v>
      </c>
      <c r="BJ23" s="3">
        <f t="shared" si="35"/>
        <v>-4.2451934727273932E-3</v>
      </c>
    </row>
    <row r="24" spans="1:62" x14ac:dyDescent="0.3">
      <c r="A24" s="27">
        <v>44187</v>
      </c>
      <c r="B24" s="3">
        <v>222.07847595214801</v>
      </c>
      <c r="C24" s="3">
        <v>131.07196044921801</v>
      </c>
      <c r="D24" s="3">
        <v>3206.52001953125</v>
      </c>
      <c r="E24" s="3">
        <v>1720.21997070312</v>
      </c>
      <c r="F24" s="3">
        <v>640.34002685546795</v>
      </c>
      <c r="G24" s="3">
        <v>1723.5</v>
      </c>
      <c r="H24" s="3">
        <v>267.08999633789</v>
      </c>
      <c r="I24" s="3">
        <v>132.66662597656199</v>
      </c>
      <c r="J24" s="3">
        <v>221.88000488281199</v>
      </c>
      <c r="K24" s="3">
        <v>118.68943023681599</v>
      </c>
      <c r="L24" s="3">
        <v>3687.26000976562</v>
      </c>
      <c r="N24" s="3">
        <f t="shared" si="2"/>
        <v>-1.3125006975927889E-2</v>
      </c>
      <c r="O24" s="3">
        <f t="shared" si="23"/>
        <v>-7.0004031805428468E-3</v>
      </c>
      <c r="P24" s="3">
        <f t="shared" si="24"/>
        <v>-6.6491790754756863E-3</v>
      </c>
      <c r="Q24" s="3">
        <f t="shared" si="25"/>
        <v>4.6455794833333286E-3</v>
      </c>
      <c r="R24" s="3">
        <f t="shared" si="26"/>
        <v>8.7691860861660587E-3</v>
      </c>
      <c r="S24" s="3">
        <f t="shared" si="27"/>
        <v>5.1390814575631438E-3</v>
      </c>
      <c r="T24" s="3">
        <f t="shared" si="28"/>
        <v>3.8116228829396803E-3</v>
      </c>
      <c r="U24" s="3">
        <f t="shared" si="29"/>
        <v>-2.0466715697271987E-2</v>
      </c>
      <c r="V24" s="3">
        <f t="shared" si="30"/>
        <v>1.0580214159761958E-2</v>
      </c>
      <c r="W24" s="3">
        <f t="shared" si="31"/>
        <v>2.7561133337211885E-2</v>
      </c>
      <c r="X24" s="3">
        <f t="shared" si="32"/>
        <v>7.4553327181803297E-4</v>
      </c>
      <c r="Z24" s="6" t="s">
        <v>41</v>
      </c>
      <c r="AA24" s="21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0.51954371022497259</v>
      </c>
      <c r="AJ24" s="23">
        <v>0</v>
      </c>
      <c r="AK24" s="3"/>
      <c r="AL24" s="3">
        <v>1</v>
      </c>
      <c r="AM24" s="3">
        <f>AM17*SIGN($AW17)</f>
        <v>0.38538079035452777</v>
      </c>
      <c r="AN24" s="3">
        <f t="shared" ref="AN24:AV24" si="36">AN17*SIGN($AW17)</f>
        <v>0.35474262634983084</v>
      </c>
      <c r="AO24" s="3">
        <f t="shared" si="36"/>
        <v>0.34685955686831221</v>
      </c>
      <c r="AP24" s="3">
        <f t="shared" si="36"/>
        <v>0.40575196470633157</v>
      </c>
      <c r="AQ24" s="3">
        <f t="shared" si="36"/>
        <v>0.20724003724728751</v>
      </c>
      <c r="AR24" s="3">
        <f t="shared" si="36"/>
        <v>0.40228713650284614</v>
      </c>
      <c r="AS24" s="3">
        <f t="shared" si="36"/>
        <v>0.33602784937080621</v>
      </c>
      <c r="AT24" s="3">
        <f t="shared" si="36"/>
        <v>0.30640725517281342</v>
      </c>
      <c r="AU24" s="3">
        <f t="shared" si="36"/>
        <v>0.14645677112819019</v>
      </c>
      <c r="AV24" s="3">
        <f t="shared" si="36"/>
        <v>8.7521573361630536E-2</v>
      </c>
      <c r="AW24" s="5">
        <f t="shared" ref="AW24:AW27" si="37">SUMPRODUCT($AM24:$AV24,$AM$21:$AV$21)</f>
        <v>0.2978675561062577</v>
      </c>
      <c r="AY24" s="5"/>
      <c r="AZ24" s="28">
        <f t="shared" si="13"/>
        <v>44183</v>
      </c>
      <c r="BA24" s="3">
        <f t="shared" si="14"/>
        <v>19</v>
      </c>
      <c r="BB24" s="3">
        <f t="shared" si="8"/>
        <v>1.0621435935432295</v>
      </c>
      <c r="BC24" s="3">
        <f t="shared" si="9"/>
        <v>1.0383048213910666</v>
      </c>
      <c r="BD24" s="3">
        <f t="shared" si="10"/>
        <v>1.1847946334563888</v>
      </c>
      <c r="BE24" s="3">
        <f t="shared" si="11"/>
        <v>0.81495847153620704</v>
      </c>
      <c r="BG24" s="3">
        <f t="shared" si="12"/>
        <v>-1.7188501294462255E-3</v>
      </c>
      <c r="BH24" s="3">
        <f t="shared" si="33"/>
        <v>4.0651044555409313E-3</v>
      </c>
      <c r="BI24" s="3">
        <f t="shared" si="34"/>
        <v>5.4206106287365829E-3</v>
      </c>
      <c r="BJ24" s="3">
        <f t="shared" si="35"/>
        <v>1.1500195410899389E-2</v>
      </c>
    </row>
    <row r="25" spans="1:62" x14ac:dyDescent="0.3">
      <c r="A25" s="27">
        <v>44188</v>
      </c>
      <c r="B25" s="3">
        <v>219.18273925781199</v>
      </c>
      <c r="C25" s="3">
        <v>130.15760803222599</v>
      </c>
      <c r="D25" s="3">
        <v>3185.27001953125</v>
      </c>
      <c r="E25" s="3">
        <v>1728.22998046875</v>
      </c>
      <c r="F25" s="3">
        <v>645.97998046875</v>
      </c>
      <c r="G25" s="3">
        <v>1732.38000488281</v>
      </c>
      <c r="H25" s="3">
        <v>268.10998535156199</v>
      </c>
      <c r="I25" s="3">
        <v>129.97897338867099</v>
      </c>
      <c r="J25" s="3">
        <v>224.24000549316401</v>
      </c>
      <c r="K25" s="3">
        <v>122.006141662597</v>
      </c>
      <c r="L25" s="3">
        <v>3690.01000976562</v>
      </c>
      <c r="N25" s="3">
        <f t="shared" si="2"/>
        <v>7.796883972885027E-3</v>
      </c>
      <c r="O25" s="3">
        <f t="shared" si="23"/>
        <v>7.682597255717738E-3</v>
      </c>
      <c r="P25" s="3">
        <f t="shared" si="24"/>
        <v>-3.9572739115403266E-3</v>
      </c>
      <c r="Q25" s="3">
        <f t="shared" si="25"/>
        <v>3.4254139390297311E-3</v>
      </c>
      <c r="R25" s="3">
        <f t="shared" si="26"/>
        <v>2.4149579742054783E-2</v>
      </c>
      <c r="S25" s="3">
        <f t="shared" si="27"/>
        <v>3.7277727099072067E-3</v>
      </c>
      <c r="T25" s="3">
        <f t="shared" si="28"/>
        <v>-2.6516475830558051E-3</v>
      </c>
      <c r="U25" s="3">
        <f t="shared" si="29"/>
        <v>-1.1920274191661306E-3</v>
      </c>
      <c r="V25" s="3">
        <f t="shared" si="30"/>
        <v>1.0160449741396071E-2</v>
      </c>
      <c r="W25" s="3">
        <f t="shared" si="31"/>
        <v>-4.4071966501171289E-3</v>
      </c>
      <c r="X25" s="3">
        <f t="shared" si="32"/>
        <v>3.530349979488534E-3</v>
      </c>
      <c r="Z25" s="6" t="s">
        <v>42</v>
      </c>
      <c r="AA25" s="24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0</v>
      </c>
      <c r="AG25" s="25">
        <v>0</v>
      </c>
      <c r="AH25" s="25">
        <v>0</v>
      </c>
      <c r="AI25" s="25">
        <v>0</v>
      </c>
      <c r="AJ25" s="26">
        <v>0.5546029447156674</v>
      </c>
      <c r="AK25" s="3"/>
      <c r="AL25" s="3">
        <v>2</v>
      </c>
      <c r="AM25" s="3">
        <f t="shared" ref="AM25:AV27" si="38">AM18*SIGN($AW18)</f>
        <v>-9.7418718557065853E-2</v>
      </c>
      <c r="AN25" s="3">
        <f t="shared" si="38"/>
        <v>-7.3820046252953408E-2</v>
      </c>
      <c r="AO25" s="3">
        <f t="shared" si="38"/>
        <v>-0.16950880518835493</v>
      </c>
      <c r="AP25" s="3">
        <f t="shared" si="38"/>
        <v>5.7416745067922249E-2</v>
      </c>
      <c r="AQ25" s="3">
        <f t="shared" si="38"/>
        <v>-0.10418044959252988</v>
      </c>
      <c r="AR25" s="3">
        <f t="shared" si="38"/>
        <v>6.9776125948091211E-2</v>
      </c>
      <c r="AS25" s="3">
        <f t="shared" si="38"/>
        <v>-4.3927031152229831E-2</v>
      </c>
      <c r="AT25" s="3">
        <f t="shared" si="38"/>
        <v>-0.1608126650960659</v>
      </c>
      <c r="AU25" s="3">
        <f t="shared" si="38"/>
        <v>0.65795555840672304</v>
      </c>
      <c r="AV25" s="3">
        <f t="shared" si="38"/>
        <v>0.69037105125161202</v>
      </c>
      <c r="AW25" s="5">
        <f t="shared" si="37"/>
        <v>8.2585176483514877E-2</v>
      </c>
      <c r="AY25" s="5"/>
      <c r="AZ25" s="28">
        <f t="shared" si="13"/>
        <v>44186</v>
      </c>
      <c r="BA25" s="3">
        <f t="shared" si="14"/>
        <v>20</v>
      </c>
      <c r="BB25" s="3">
        <f t="shared" si="8"/>
        <v>1.0603194960142139</v>
      </c>
      <c r="BC25" s="3">
        <f t="shared" si="9"/>
        <v>1.0425342296155498</v>
      </c>
      <c r="BD25" s="3">
        <f t="shared" si="10"/>
        <v>1.1912343817551467</v>
      </c>
      <c r="BE25" s="3">
        <f t="shared" si="11"/>
        <v>0.82438475135181966</v>
      </c>
      <c r="BG25" s="3">
        <f t="shared" si="12"/>
        <v>-4.5317630778344692E-3</v>
      </c>
      <c r="BH25" s="3">
        <f t="shared" si="33"/>
        <v>-3.7178813601107877E-3</v>
      </c>
      <c r="BI25" s="3">
        <f t="shared" si="34"/>
        <v>-1.0633636978193139E-3</v>
      </c>
      <c r="BJ25" s="3">
        <f t="shared" si="35"/>
        <v>3.5453670771702361E-3</v>
      </c>
    </row>
    <row r="26" spans="1:62" x14ac:dyDescent="0.3">
      <c r="A26" s="27">
        <v>44189</v>
      </c>
      <c r="B26" s="3">
        <v>220.89836120605401</v>
      </c>
      <c r="C26" s="3">
        <v>131.16140747070301</v>
      </c>
      <c r="D26" s="3">
        <v>3172.68994140625</v>
      </c>
      <c r="E26" s="3">
        <v>1734.16003417968</v>
      </c>
      <c r="F26" s="3">
        <v>661.77001953125</v>
      </c>
      <c r="G26" s="3">
        <v>1738.84997558593</v>
      </c>
      <c r="H26" s="3">
        <v>267.39999389648398</v>
      </c>
      <c r="I26" s="3">
        <v>129.824127197265</v>
      </c>
      <c r="J26" s="3">
        <v>226.52999877929599</v>
      </c>
      <c r="K26" s="3">
        <v>121.46961975097599</v>
      </c>
      <c r="L26" s="3">
        <v>3703.06005859375</v>
      </c>
      <c r="N26" s="3">
        <f t="shared" si="2"/>
        <v>9.872569384718588E-3</v>
      </c>
      <c r="O26" s="3">
        <f t="shared" si="23"/>
        <v>3.5141118387985948E-2</v>
      </c>
      <c r="P26" s="3">
        <f t="shared" si="24"/>
        <v>3.4470209331258772E-2</v>
      </c>
      <c r="Q26" s="3">
        <f t="shared" si="25"/>
        <v>2.269114768474001E-2</v>
      </c>
      <c r="R26" s="3">
        <f t="shared" si="26"/>
        <v>2.8970836105361997E-3</v>
      </c>
      <c r="S26" s="3">
        <f t="shared" si="27"/>
        <v>2.119033857508601E-2</v>
      </c>
      <c r="T26" s="3">
        <f t="shared" si="28"/>
        <v>3.527186434491103E-2</v>
      </c>
      <c r="U26" s="3">
        <f t="shared" si="29"/>
        <v>-7.2413515664928596E-3</v>
      </c>
      <c r="V26" s="3">
        <f t="shared" si="30"/>
        <v>8.2648945988568201E-3</v>
      </c>
      <c r="W26" s="3">
        <f t="shared" si="31"/>
        <v>6.5636297091984375E-3</v>
      </c>
      <c r="X26" s="3">
        <f t="shared" si="32"/>
        <v>8.6847075384106631E-3</v>
      </c>
      <c r="AK26" s="3"/>
      <c r="AL26" s="3">
        <v>3</v>
      </c>
      <c r="AM26" s="3">
        <f t="shared" si="38"/>
        <v>-7.7517506607752987E-2</v>
      </c>
      <c r="AN26" s="3">
        <f t="shared" si="38"/>
        <v>0.13920107739773982</v>
      </c>
      <c r="AO26" s="3">
        <f t="shared" si="38"/>
        <v>-2.4132571758131993E-2</v>
      </c>
      <c r="AP26" s="3">
        <f t="shared" si="38"/>
        <v>-0.34324832433735836</v>
      </c>
      <c r="AQ26" s="3">
        <f t="shared" si="38"/>
        <v>0.77423684453374808</v>
      </c>
      <c r="AR26" s="3">
        <f t="shared" si="38"/>
        <v>-0.3430941733919094</v>
      </c>
      <c r="AS26" s="3">
        <f t="shared" si="38"/>
        <v>-5.7531390850595991E-2</v>
      </c>
      <c r="AT26" s="3">
        <f t="shared" si="38"/>
        <v>0.31829632893325011</v>
      </c>
      <c r="AU26" s="3">
        <f t="shared" si="38"/>
        <v>9.1303776504543951E-2</v>
      </c>
      <c r="AV26" s="3">
        <f t="shared" si="38"/>
        <v>0.16154629751847444</v>
      </c>
      <c r="AW26" s="5">
        <f t="shared" si="37"/>
        <v>6.3906035794200775E-2</v>
      </c>
      <c r="AY26" s="5"/>
      <c r="AZ26" s="28">
        <f t="shared" si="13"/>
        <v>44187</v>
      </c>
      <c r="BA26" s="3">
        <f t="shared" si="14"/>
        <v>21</v>
      </c>
      <c r="BB26" s="3">
        <f t="shared" si="8"/>
        <v>1.0555252506683901</v>
      </c>
      <c r="BC26" s="3">
        <f t="shared" si="9"/>
        <v>1.0386654074034229</v>
      </c>
      <c r="BD26" s="3">
        <f t="shared" si="10"/>
        <v>1.1899683396089205</v>
      </c>
      <c r="BE26" s="3">
        <f t="shared" si="11"/>
        <v>0.82731268514129508</v>
      </c>
      <c r="BG26" s="3">
        <f t="shared" si="12"/>
        <v>1.5097952046700253E-3</v>
      </c>
      <c r="BH26" s="3">
        <f t="shared" si="33"/>
        <v>2.3368226892364619E-3</v>
      </c>
      <c r="BI26" s="3">
        <f t="shared" si="34"/>
        <v>1.8906007776823552E-3</v>
      </c>
      <c r="BJ26" s="3">
        <f t="shared" si="35"/>
        <v>-6.1021683049858333E-4</v>
      </c>
    </row>
    <row r="27" spans="1:62" x14ac:dyDescent="0.3">
      <c r="A27" s="27">
        <v>44193</v>
      </c>
      <c r="B27" s="3">
        <v>223.08999633789</v>
      </c>
      <c r="C27" s="3">
        <v>135.85250854492099</v>
      </c>
      <c r="D27" s="3">
        <v>3283.9599609375</v>
      </c>
      <c r="E27" s="3">
        <v>1773.9599609375</v>
      </c>
      <c r="F27" s="3">
        <v>663.69000244140602</v>
      </c>
      <c r="G27" s="3">
        <v>1776.08996582031</v>
      </c>
      <c r="H27" s="3">
        <v>277</v>
      </c>
      <c r="I27" s="3">
        <v>128.88742065429599</v>
      </c>
      <c r="J27" s="3">
        <v>228.41000366210901</v>
      </c>
      <c r="K27" s="3">
        <v>122.269523620605</v>
      </c>
      <c r="L27" s="3">
        <v>3735.36010742187</v>
      </c>
      <c r="N27" s="3">
        <f t="shared" si="2"/>
        <v>-3.6072140560037269E-3</v>
      </c>
      <c r="O27" s="3">
        <f t="shared" si="23"/>
        <v>-1.3404267823892368E-2</v>
      </c>
      <c r="P27" s="3">
        <f t="shared" si="24"/>
        <v>1.151701183800391E-2</v>
      </c>
      <c r="Q27" s="3">
        <f t="shared" si="25"/>
        <v>-9.1740369710802128E-3</v>
      </c>
      <c r="R27" s="3">
        <f t="shared" si="26"/>
        <v>3.4594640807883437E-3</v>
      </c>
      <c r="S27" s="3">
        <f t="shared" si="27"/>
        <v>-9.8280446437257751E-3</v>
      </c>
      <c r="T27" s="3">
        <f t="shared" si="28"/>
        <v>-7.945437999303806E-4</v>
      </c>
      <c r="U27" s="3">
        <f t="shared" si="29"/>
        <v>3.3471544887779814E-3</v>
      </c>
      <c r="V27" s="3">
        <f t="shared" si="30"/>
        <v>5.0657500979598424E-3</v>
      </c>
      <c r="W27" s="3">
        <f t="shared" si="31"/>
        <v>-2.6361752509584946E-3</v>
      </c>
      <c r="X27" s="3">
        <f t="shared" si="32"/>
        <v>-2.2298648272780497E-3</v>
      </c>
      <c r="Z27" s="3" t="s">
        <v>11</v>
      </c>
      <c r="AK27" s="3"/>
      <c r="AL27" s="3">
        <v>4</v>
      </c>
      <c r="AM27" s="3">
        <f t="shared" si="38"/>
        <v>0.13701000672298594</v>
      </c>
      <c r="AN27" s="3">
        <f t="shared" si="38"/>
        <v>0.3042287900415957</v>
      </c>
      <c r="AO27" s="3">
        <f t="shared" si="38"/>
        <v>0.3247853129341457</v>
      </c>
      <c r="AP27" s="3">
        <f t="shared" si="38"/>
        <v>-0.28415278770346641</v>
      </c>
      <c r="AQ27" s="3">
        <f t="shared" si="38"/>
        <v>-0.52765760664285144</v>
      </c>
      <c r="AR27" s="3">
        <f t="shared" si="38"/>
        <v>-0.30192633003262564</v>
      </c>
      <c r="AS27" s="3">
        <f t="shared" si="38"/>
        <v>-0.29053312019921385</v>
      </c>
      <c r="AT27" s="3">
        <f t="shared" si="38"/>
        <v>0.46176627420519228</v>
      </c>
      <c r="AU27" s="3">
        <f t="shared" si="38"/>
        <v>0.1869049623974349</v>
      </c>
      <c r="AV27" s="3">
        <f t="shared" si="38"/>
        <v>1.7078805589308285E-2</v>
      </c>
      <c r="AW27" s="5">
        <f t="shared" si="37"/>
        <v>2.7504307312505322E-3</v>
      </c>
      <c r="AY27" s="5"/>
      <c r="AZ27" s="28">
        <f t="shared" si="13"/>
        <v>44188</v>
      </c>
      <c r="BA27" s="3">
        <f t="shared" si="14"/>
        <v>22</v>
      </c>
      <c r="BB27" s="3">
        <f t="shared" si="8"/>
        <v>1.057120081261099</v>
      </c>
      <c r="BC27" s="3">
        <f t="shared" si="9"/>
        <v>1.0410954224453042</v>
      </c>
      <c r="BD27" s="3">
        <f t="shared" si="10"/>
        <v>1.1922202227124203</v>
      </c>
      <c r="BE27" s="3">
        <f t="shared" si="11"/>
        <v>0.82680799901638125</v>
      </c>
      <c r="BG27" s="3">
        <f t="shared" si="12"/>
        <v>5.0594992435438538E-3</v>
      </c>
      <c r="BH27" s="3">
        <f t="shared" si="33"/>
        <v>4.2713618466934042E-3</v>
      </c>
      <c r="BI27" s="3">
        <f t="shared" si="34"/>
        <v>4.7288187501150214E-3</v>
      </c>
      <c r="BJ27" s="3">
        <f t="shared" si="35"/>
        <v>4.0278720077963903E-3</v>
      </c>
    </row>
    <row r="28" spans="1:62" x14ac:dyDescent="0.3">
      <c r="A28" s="27">
        <v>44194</v>
      </c>
      <c r="B28" s="3">
        <v>222.28671264648401</v>
      </c>
      <c r="C28" s="3">
        <v>134.04365539550699</v>
      </c>
      <c r="D28" s="3">
        <v>3322</v>
      </c>
      <c r="E28" s="3">
        <v>1757.76000976562</v>
      </c>
      <c r="F28" s="3">
        <v>665.989990234375</v>
      </c>
      <c r="G28" s="3">
        <v>1758.71997070312</v>
      </c>
      <c r="H28" s="3">
        <v>276.77999877929602</v>
      </c>
      <c r="I28" s="3">
        <v>129.31954956054599</v>
      </c>
      <c r="J28" s="3">
        <v>229.57000732421801</v>
      </c>
      <c r="K28" s="3">
        <v>121.947624206542</v>
      </c>
      <c r="L28" s="3">
        <v>3727.0400390625</v>
      </c>
      <c r="N28" s="3">
        <f t="shared" si="2"/>
        <v>-1.1080548265494983E-2</v>
      </c>
      <c r="O28" s="3">
        <f t="shared" si="23"/>
        <v>-8.5633322008398238E-3</v>
      </c>
      <c r="P28" s="3">
        <f t="shared" si="24"/>
        <v>-1.0941611102202486E-2</v>
      </c>
      <c r="Q28" s="3">
        <f t="shared" si="25"/>
        <v>-1.2312661641420419E-2</v>
      </c>
      <c r="R28" s="3">
        <f t="shared" si="26"/>
        <v>4.2320650108497837E-2</v>
      </c>
      <c r="S28" s="3">
        <f t="shared" si="27"/>
        <v>-1.0977030745127792E-2</v>
      </c>
      <c r="T28" s="3">
        <f t="shared" si="28"/>
        <v>-1.7898969478272519E-2</v>
      </c>
      <c r="U28" s="3">
        <f t="shared" si="29"/>
        <v>1.5524027299595566E-2</v>
      </c>
      <c r="V28" s="3">
        <f t="shared" si="30"/>
        <v>3.4835840277924746E-4</v>
      </c>
      <c r="W28" s="3">
        <f t="shared" si="31"/>
        <v>2.7958394212035387E-3</v>
      </c>
      <c r="X28" s="3">
        <f t="shared" si="32"/>
        <v>1.3406480950806099E-3</v>
      </c>
      <c r="Z28" s="6"/>
      <c r="AA28" s="6">
        <v>1</v>
      </c>
      <c r="AB28" s="6">
        <v>2</v>
      </c>
      <c r="AC28" s="6">
        <v>3</v>
      </c>
      <c r="AD28" s="6">
        <v>4</v>
      </c>
      <c r="AE28" s="6">
        <v>5</v>
      </c>
      <c r="AF28" s="6">
        <v>6</v>
      </c>
      <c r="AG28" s="6">
        <v>7</v>
      </c>
      <c r="AH28" s="6">
        <v>8</v>
      </c>
      <c r="AI28" s="6">
        <v>9</v>
      </c>
      <c r="AJ28" s="6">
        <v>10</v>
      </c>
      <c r="AK28" s="3"/>
      <c r="AL28" s="8" t="s">
        <v>30</v>
      </c>
      <c r="AM28" s="3">
        <f>SUM(AM24:AM27)/4</f>
        <v>8.6863642978173727E-2</v>
      </c>
      <c r="AN28" s="3">
        <f t="shared" ref="AN28:AV28" si="39">SUM(AN24:AN27)/4</f>
        <v>0.18108811188405322</v>
      </c>
      <c r="AO28" s="3">
        <f t="shared" si="39"/>
        <v>0.11950087321399275</v>
      </c>
      <c r="AP28" s="3">
        <f t="shared" si="39"/>
        <v>-4.1058100566642733E-2</v>
      </c>
      <c r="AQ28" s="3">
        <f t="shared" si="39"/>
        <v>8.7409706386413571E-2</v>
      </c>
      <c r="AR28" s="3">
        <f t="shared" si="39"/>
        <v>-4.3239310243399429E-2</v>
      </c>
      <c r="AS28" s="3">
        <f t="shared" si="39"/>
        <v>-1.399092320780837E-2</v>
      </c>
      <c r="AT28" s="3">
        <f t="shared" si="39"/>
        <v>0.23141429830379748</v>
      </c>
      <c r="AU28" s="3">
        <f t="shared" si="39"/>
        <v>0.270655267109223</v>
      </c>
      <c r="AV28" s="3">
        <f t="shared" si="39"/>
        <v>0.23912943193025632</v>
      </c>
      <c r="AW28" s="7"/>
      <c r="AY28" s="5"/>
      <c r="AZ28" s="28">
        <f t="shared" si="13"/>
        <v>44189</v>
      </c>
      <c r="BA28" s="3">
        <f t="shared" si="14"/>
        <v>23</v>
      </c>
      <c r="BB28" s="3">
        <f t="shared" si="8"/>
        <v>1.0624821327218468</v>
      </c>
      <c r="BC28" s="3">
        <f t="shared" si="9"/>
        <v>1.0455518283972645</v>
      </c>
      <c r="BD28" s="3">
        <f t="shared" si="10"/>
        <v>1.1978713671439478</v>
      </c>
      <c r="BE28" s="3">
        <f t="shared" si="11"/>
        <v>0.83014499178978829</v>
      </c>
      <c r="BG28" s="3">
        <f t="shared" si="12"/>
        <v>1.6680749563312176E-2</v>
      </c>
      <c r="BH28" s="3">
        <f t="shared" si="33"/>
        <v>1.7543770227509588E-2</v>
      </c>
      <c r="BI28" s="3">
        <f t="shared" si="34"/>
        <v>1.0596743876555709E-2</v>
      </c>
      <c r="BJ28" s="3">
        <f t="shared" si="35"/>
        <v>5.835320624407947E-3</v>
      </c>
    </row>
    <row r="29" spans="1:62" x14ac:dyDescent="0.3">
      <c r="A29" s="27">
        <v>44195</v>
      </c>
      <c r="B29" s="3">
        <v>219.83724975585901</v>
      </c>
      <c r="C29" s="3">
        <v>132.90069580078099</v>
      </c>
      <c r="D29" s="3">
        <v>3285.85009765625</v>
      </c>
      <c r="E29" s="3">
        <v>1736.25</v>
      </c>
      <c r="F29" s="3">
        <v>694.780029296875</v>
      </c>
      <c r="G29" s="3">
        <v>1739.52001953125</v>
      </c>
      <c r="H29" s="3">
        <v>271.86999511718699</v>
      </c>
      <c r="I29" s="3">
        <v>131.3427734375</v>
      </c>
      <c r="J29" s="3">
        <v>229.64999389648401</v>
      </c>
      <c r="K29" s="3">
        <v>122.28904724121</v>
      </c>
      <c r="L29" s="3">
        <v>3732.0400390625</v>
      </c>
      <c r="N29" s="3">
        <f t="shared" si="2"/>
        <v>3.3326201506316266E-3</v>
      </c>
      <c r="O29" s="3">
        <f t="shared" si="23"/>
        <v>-7.7324238607321405E-3</v>
      </c>
      <c r="P29" s="3">
        <f t="shared" si="24"/>
        <v>-8.8403871853728333E-3</v>
      </c>
      <c r="Q29" s="3">
        <f t="shared" si="25"/>
        <v>9.3956158847259275E-3</v>
      </c>
      <c r="R29" s="3">
        <f t="shared" si="26"/>
        <v>1.5552391045440928E-2</v>
      </c>
      <c r="S29" s="3">
        <f t="shared" si="27"/>
        <v>7.0802754764489606E-3</v>
      </c>
      <c r="T29" s="3">
        <f t="shared" si="28"/>
        <v>4.7337245902143721E-3</v>
      </c>
      <c r="U29" s="3">
        <f t="shared" si="29"/>
        <v>-6.9270745412248758E-3</v>
      </c>
      <c r="V29" s="3">
        <f t="shared" si="30"/>
        <v>9.6204645341497752E-3</v>
      </c>
      <c r="W29" s="3">
        <f t="shared" si="31"/>
        <v>1.3548485961508483E-2</v>
      </c>
      <c r="X29" s="3">
        <f t="shared" si="32"/>
        <v>6.418204711701847E-3</v>
      </c>
      <c r="Z29" s="6" t="s">
        <v>33</v>
      </c>
      <c r="AA29" s="18">
        <f t="array" ref="AA29:AJ38">eigenvector(AA3:AJ12)</f>
        <v>-0.38538079035452777</v>
      </c>
      <c r="AB29" s="19">
        <v>-9.7418718557065853E-2</v>
      </c>
      <c r="AC29" s="19">
        <v>7.7517506607752987E-2</v>
      </c>
      <c r="AD29" s="19">
        <v>-1.5374068278236697E-2</v>
      </c>
      <c r="AE29" s="19">
        <v>0.5737541802267786</v>
      </c>
      <c r="AF29" s="19">
        <v>-0.46923674212737609</v>
      </c>
      <c r="AG29" s="19">
        <v>-0.13701000672298594</v>
      </c>
      <c r="AH29" s="19">
        <v>-0.32674799186500342</v>
      </c>
      <c r="AI29" s="19">
        <v>0.32242681807036699</v>
      </c>
      <c r="AJ29" s="20">
        <v>0.23848247160592098</v>
      </c>
      <c r="AK29" s="3"/>
      <c r="AL29" s="8" t="s">
        <v>7</v>
      </c>
      <c r="AM29" s="3">
        <f>B3</f>
        <v>208.64109802246</v>
      </c>
      <c r="AN29" s="3">
        <f t="shared" ref="AN29:AV29" si="40">C3</f>
        <v>116.621055603027</v>
      </c>
      <c r="AO29" s="3">
        <f t="shared" si="40"/>
        <v>3099.39990234375</v>
      </c>
      <c r="AP29" s="3">
        <f t="shared" si="40"/>
        <v>1736.38000488281</v>
      </c>
      <c r="AQ29" s="3">
        <f t="shared" si="40"/>
        <v>489.60998535156199</v>
      </c>
      <c r="AR29" s="3">
        <f t="shared" si="40"/>
        <v>1742.18994140625</v>
      </c>
      <c r="AS29" s="3">
        <f t="shared" si="40"/>
        <v>269.70001220703102</v>
      </c>
      <c r="AT29" s="3">
        <f t="shared" si="40"/>
        <v>130.72467041015599</v>
      </c>
      <c r="AU29" s="3">
        <f t="shared" si="40"/>
        <v>227.009994506835</v>
      </c>
      <c r="AV29" s="3">
        <f t="shared" si="40"/>
        <v>111.763366699218</v>
      </c>
      <c r="AW29" s="7"/>
      <c r="AY29" s="5"/>
      <c r="AZ29" s="28">
        <f t="shared" si="13"/>
        <v>44193</v>
      </c>
      <c r="BA29" s="3">
        <f t="shared" si="14"/>
        <v>24</v>
      </c>
      <c r="BB29" s="3">
        <f t="shared" si="8"/>
        <v>1.0803537728772616</v>
      </c>
      <c r="BC29" s="3">
        <f t="shared" si="9"/>
        <v>1.0640565965156095</v>
      </c>
      <c r="BD29" s="3">
        <f t="shared" si="10"/>
        <v>1.2106323964862511</v>
      </c>
      <c r="BE29" s="3">
        <f t="shared" si="11"/>
        <v>0.83500331513295434</v>
      </c>
      <c r="BG29" s="3">
        <f t="shared" si="12"/>
        <v>-1.5720100453583824E-3</v>
      </c>
      <c r="BH29" s="3">
        <f t="shared" si="33"/>
        <v>-1.7790945583612133E-3</v>
      </c>
      <c r="BI29" s="3">
        <f t="shared" si="34"/>
        <v>8.4129796895324183E-4</v>
      </c>
      <c r="BJ29" s="3">
        <f t="shared" si="35"/>
        <v>3.4852061398222556E-3</v>
      </c>
    </row>
    <row r="30" spans="1:62" x14ac:dyDescent="0.3">
      <c r="A30" s="27">
        <v>44196</v>
      </c>
      <c r="B30" s="3">
        <v>220.57110595703099</v>
      </c>
      <c r="C30" s="3">
        <v>131.87701416015599</v>
      </c>
      <c r="D30" s="3">
        <v>3256.92993164062</v>
      </c>
      <c r="E30" s="3">
        <v>1752.64001464843</v>
      </c>
      <c r="F30" s="3">
        <v>705.66998291015602</v>
      </c>
      <c r="G30" s="3">
        <v>1751.88000488281</v>
      </c>
      <c r="H30" s="3">
        <v>273.16000366210898</v>
      </c>
      <c r="I30" s="3">
        <v>130.43609619140599</v>
      </c>
      <c r="J30" s="3">
        <v>231.86999511718699</v>
      </c>
      <c r="K30" s="3">
        <v>123.957153320312</v>
      </c>
      <c r="L30" s="3">
        <v>3756.07006835937</v>
      </c>
      <c r="N30" s="3">
        <f t="shared" si="2"/>
        <v>-2.1495490122681815E-2</v>
      </c>
      <c r="O30" s="3">
        <f t="shared" si="23"/>
        <v>-2.5029798186766428E-2</v>
      </c>
      <c r="P30" s="3">
        <f t="shared" si="24"/>
        <v>-2.1821117625419717E-2</v>
      </c>
      <c r="Q30" s="3">
        <f t="shared" si="25"/>
        <v>-1.5241319661600805E-2</v>
      </c>
      <c r="R30" s="3">
        <f t="shared" si="26"/>
        <v>3.3581760865083687E-2</v>
      </c>
      <c r="S30" s="3">
        <f t="shared" si="27"/>
        <v>-1.3585955828972374E-2</v>
      </c>
      <c r="T30" s="3">
        <f t="shared" si="28"/>
        <v>-1.556940202574264E-2</v>
      </c>
      <c r="U30" s="3">
        <f t="shared" si="29"/>
        <v>4.4707860477783967E-3</v>
      </c>
      <c r="V30" s="3">
        <f t="shared" si="30"/>
        <v>-1.4859494077739122E-2</v>
      </c>
      <c r="W30" s="3">
        <f t="shared" si="31"/>
        <v>-9.4884663426295646E-3</v>
      </c>
      <c r="X30" s="3">
        <f t="shared" si="32"/>
        <v>-1.4864762712024415E-2</v>
      </c>
      <c r="Z30" s="6" t="s">
        <v>34</v>
      </c>
      <c r="AA30" s="21">
        <v>-0.35474262634983084</v>
      </c>
      <c r="AB30" s="22">
        <v>-7.3820046252953408E-2</v>
      </c>
      <c r="AC30" s="22">
        <v>-0.13920107739773982</v>
      </c>
      <c r="AD30" s="22">
        <v>-2.9523964790479861E-3</v>
      </c>
      <c r="AE30" s="22">
        <v>-0.11577339418427293</v>
      </c>
      <c r="AF30" s="22">
        <v>0.54179276782368413</v>
      </c>
      <c r="AG30" s="22">
        <v>-0.3042287900415957</v>
      </c>
      <c r="AH30" s="22">
        <v>-0.23456021606079366</v>
      </c>
      <c r="AI30" s="22">
        <v>0.49796550444586879</v>
      </c>
      <c r="AJ30" s="23">
        <v>-0.38319242671834158</v>
      </c>
      <c r="AK30" s="3"/>
      <c r="AL30" s="8" t="s">
        <v>16</v>
      </c>
      <c r="AM30" s="3">
        <f>AM28/AM29</f>
        <v>4.1633045359463621E-4</v>
      </c>
      <c r="AN30" s="3">
        <f t="shared" ref="AN30:AV30" si="41">AN28/AN29</f>
        <v>1.5527908828099556E-3</v>
      </c>
      <c r="AO30" s="3">
        <f t="shared" si="41"/>
        <v>3.8556132470555611E-5</v>
      </c>
      <c r="AP30" s="3">
        <f t="shared" si="41"/>
        <v>-2.3645803597821195E-5</v>
      </c>
      <c r="AQ30" s="3">
        <f t="shared" si="41"/>
        <v>1.7852925594164399E-4</v>
      </c>
      <c r="AR30" s="3">
        <f t="shared" si="41"/>
        <v>-2.4818941503300031E-5</v>
      </c>
      <c r="AS30" s="3">
        <f t="shared" si="41"/>
        <v>-5.1875871614972174E-5</v>
      </c>
      <c r="AT30" s="3">
        <f t="shared" si="41"/>
        <v>1.7702419717542384E-3</v>
      </c>
      <c r="AU30" s="3">
        <f t="shared" si="41"/>
        <v>1.1922614583432974E-3</v>
      </c>
      <c r="AV30" s="3">
        <f t="shared" si="41"/>
        <v>2.1396047648941261E-3</v>
      </c>
      <c r="AW30" s="7"/>
      <c r="AY30" s="5"/>
      <c r="AZ30" s="28">
        <f t="shared" si="13"/>
        <v>44194</v>
      </c>
      <c r="BA30" s="3">
        <f t="shared" si="14"/>
        <v>25</v>
      </c>
      <c r="BB30" s="3">
        <f t="shared" si="8"/>
        <v>1.0786567800880831</v>
      </c>
      <c r="BC30" s="3">
        <f t="shared" si="9"/>
        <v>1.0621652221807316</v>
      </c>
      <c r="BD30" s="3">
        <f t="shared" si="10"/>
        <v>1.21165132761481</v>
      </c>
      <c r="BE30" s="3">
        <f t="shared" si="11"/>
        <v>0.83791855096166756</v>
      </c>
      <c r="BG30" s="3">
        <f t="shared" si="12"/>
        <v>2.6586134590733668E-4</v>
      </c>
      <c r="BH30" s="3">
        <f t="shared" si="33"/>
        <v>-3.4365840971390602E-3</v>
      </c>
      <c r="BI30" s="3">
        <f t="shared" si="34"/>
        <v>5.4313663345440522E-3</v>
      </c>
      <c r="BJ30" s="3">
        <f t="shared" si="35"/>
        <v>9.7448808583327495E-3</v>
      </c>
    </row>
    <row r="31" spans="1:62" x14ac:dyDescent="0.3">
      <c r="A31" s="27">
        <v>44200</v>
      </c>
      <c r="B31" s="3">
        <v>215.88041687011699</v>
      </c>
      <c r="C31" s="3">
        <v>128.61712646484301</v>
      </c>
      <c r="D31" s="3">
        <v>3186.6298828125</v>
      </c>
      <c r="E31" s="3">
        <v>1726.13000488281</v>
      </c>
      <c r="F31" s="3">
        <v>729.77001953125</v>
      </c>
      <c r="G31" s="3">
        <v>1728.23999023437</v>
      </c>
      <c r="H31" s="3">
        <v>268.94000244140602</v>
      </c>
      <c r="I31" s="3">
        <v>131.02055358886699</v>
      </c>
      <c r="J31" s="3">
        <v>228.44999694824199</v>
      </c>
      <c r="K31" s="3">
        <v>122.78655242919901</v>
      </c>
      <c r="L31" s="3">
        <v>3700.64990234375</v>
      </c>
      <c r="N31" s="3">
        <f t="shared" si="2"/>
        <v>9.641984862165387E-4</v>
      </c>
      <c r="O31" s="3">
        <f t="shared" si="23"/>
        <v>1.2287744798695321E-2</v>
      </c>
      <c r="P31" s="3">
        <f t="shared" si="24"/>
        <v>9.9546272992441232E-3</v>
      </c>
      <c r="Q31" s="3">
        <f t="shared" si="25"/>
        <v>8.0319651975502282E-3</v>
      </c>
      <c r="R31" s="3">
        <f t="shared" si="26"/>
        <v>7.29068518364695E-3</v>
      </c>
      <c r="S31" s="3">
        <f t="shared" si="27"/>
        <v>7.3101903938050938E-3</v>
      </c>
      <c r="T31" s="3">
        <f t="shared" si="28"/>
        <v>7.5198026762004488E-3</v>
      </c>
      <c r="U31" s="3">
        <f t="shared" si="29"/>
        <v>2.1966999773106011E-2</v>
      </c>
      <c r="V31" s="3">
        <f t="shared" si="30"/>
        <v>-4.2989877205368288E-3</v>
      </c>
      <c r="W31" s="3">
        <f t="shared" si="31"/>
        <v>5.4265728591627038E-3</v>
      </c>
      <c r="X31" s="3">
        <f t="shared" si="32"/>
        <v>7.0576313833612403E-3</v>
      </c>
      <c r="Z31" s="6" t="s">
        <v>35</v>
      </c>
      <c r="AA31" s="21">
        <v>-0.34685955686831221</v>
      </c>
      <c r="AB31" s="22">
        <v>-0.16950880518835493</v>
      </c>
      <c r="AC31" s="22">
        <v>2.4132571758131993E-2</v>
      </c>
      <c r="AD31" s="22">
        <v>1.1242192168093471E-2</v>
      </c>
      <c r="AE31" s="22">
        <v>8.7900011387250961E-3</v>
      </c>
      <c r="AF31" s="22">
        <v>-0.24718342630408494</v>
      </c>
      <c r="AG31" s="22">
        <v>-0.3247853129341457</v>
      </c>
      <c r="AH31" s="22">
        <v>0.79110962321171152</v>
      </c>
      <c r="AI31" s="22">
        <v>-5.0646739629977809E-3</v>
      </c>
      <c r="AJ31" s="23">
        <v>-0.24021646103176258</v>
      </c>
      <c r="AK31" s="3"/>
      <c r="AL31" s="8"/>
      <c r="AW31" s="3"/>
      <c r="AY31" s="5"/>
      <c r="AZ31" s="28">
        <f t="shared" si="13"/>
        <v>44195</v>
      </c>
      <c r="BA31" s="3">
        <f t="shared" si="14"/>
        <v>26</v>
      </c>
      <c r="BB31" s="3">
        <f t="shared" si="8"/>
        <v>1.0789435913557348</v>
      </c>
      <c r="BC31" s="3">
        <f t="shared" si="9"/>
        <v>1.0585212670350952</v>
      </c>
      <c r="BD31" s="3">
        <f t="shared" si="10"/>
        <v>1.2182501539444459</v>
      </c>
      <c r="BE31" s="3">
        <f t="shared" si="11"/>
        <v>0.84612388246546089</v>
      </c>
      <c r="BG31" s="3">
        <f t="shared" si="12"/>
        <v>4.3223237295995642E-3</v>
      </c>
      <c r="BH31" s="3">
        <f t="shared" si="33"/>
        <v>4.3235913615754587E-3</v>
      </c>
      <c r="BI31" s="3">
        <f t="shared" si="34"/>
        <v>2.7826814119095433E-3</v>
      </c>
      <c r="BJ31" s="3">
        <f t="shared" si="35"/>
        <v>-3.9836956916447508E-4</v>
      </c>
    </row>
    <row r="32" spans="1:62" x14ac:dyDescent="0.3">
      <c r="A32" s="27">
        <v>44201</v>
      </c>
      <c r="B32" s="3">
        <v>216.08866882324199</v>
      </c>
      <c r="C32" s="3">
        <v>130.20729064941401</v>
      </c>
      <c r="D32" s="3">
        <v>3218.51000976562</v>
      </c>
      <c r="E32" s="3">
        <v>1740.05004882812</v>
      </c>
      <c r="F32" s="3">
        <v>735.10998535156205</v>
      </c>
      <c r="G32" s="3">
        <v>1740.92004394531</v>
      </c>
      <c r="H32" s="3">
        <v>270.97000122070301</v>
      </c>
      <c r="I32" s="3">
        <v>133.93052673339801</v>
      </c>
      <c r="J32" s="3">
        <v>227.47000122070301</v>
      </c>
      <c r="K32" s="3">
        <v>123.45467376708901</v>
      </c>
      <c r="L32" s="3">
        <v>3726.86010742187</v>
      </c>
      <c r="N32" s="3">
        <f t="shared" si="2"/>
        <v>-2.6271387964756698E-2</v>
      </c>
      <c r="O32" s="3">
        <f t="shared" si="23"/>
        <v>-3.4241031460886084E-2</v>
      </c>
      <c r="P32" s="3">
        <f t="shared" si="24"/>
        <v>-2.5211816698551104E-2</v>
      </c>
      <c r="Q32" s="3">
        <f t="shared" si="25"/>
        <v>-9.9165645189325247E-3</v>
      </c>
      <c r="R32" s="3">
        <f t="shared" si="26"/>
        <v>2.7994767015470323E-2</v>
      </c>
      <c r="S32" s="3">
        <f t="shared" si="27"/>
        <v>-3.2391654537340386E-3</v>
      </c>
      <c r="T32" s="3">
        <f t="shared" si="28"/>
        <v>-2.8676082149659443E-2</v>
      </c>
      <c r="U32" s="3">
        <f t="shared" si="29"/>
        <v>-6.0762198953105084E-2</v>
      </c>
      <c r="V32" s="3">
        <f t="shared" si="30"/>
        <v>1.2234185093454641E-2</v>
      </c>
      <c r="W32" s="3">
        <f t="shared" si="31"/>
        <v>4.5886716508018566E-2</v>
      </c>
      <c r="X32" s="3">
        <f t="shared" si="32"/>
        <v>5.6936033824737109E-3</v>
      </c>
      <c r="Z32" s="6" t="s">
        <v>36</v>
      </c>
      <c r="AA32" s="21">
        <v>-0.40575196470633157</v>
      </c>
      <c r="AB32" s="22">
        <v>5.7416745067922249E-2</v>
      </c>
      <c r="AC32" s="22">
        <v>0.34324832433735836</v>
      </c>
      <c r="AD32" s="22">
        <v>0.71528755678710454</v>
      </c>
      <c r="AE32" s="22">
        <v>-0.15943130031639458</v>
      </c>
      <c r="AF32" s="22">
        <v>0.16524551993112069</v>
      </c>
      <c r="AG32" s="22">
        <v>0.28415278770346641</v>
      </c>
      <c r="AH32" s="22">
        <v>6.1470014407381937E-2</v>
      </c>
      <c r="AI32" s="22">
        <v>2.0885783985709169E-3</v>
      </c>
      <c r="AJ32" s="23">
        <v>0.25566150766077939</v>
      </c>
      <c r="AK32" s="3"/>
      <c r="AL32" s="16" t="s">
        <v>31</v>
      </c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5"/>
      <c r="AZ32" s="28">
        <f t="shared" si="13"/>
        <v>44196</v>
      </c>
      <c r="BA32" s="3">
        <f t="shared" si="14"/>
        <v>27</v>
      </c>
      <c r="BB32" s="3">
        <f t="shared" si="8"/>
        <v>1.0836172280526915</v>
      </c>
      <c r="BC32" s="3">
        <f t="shared" si="9"/>
        <v>1.0631077884185882</v>
      </c>
      <c r="BD32" s="3">
        <f t="shared" si="10"/>
        <v>1.2216448770287616</v>
      </c>
      <c r="BE32" s="3">
        <f t="shared" si="11"/>
        <v>0.84578687958924548</v>
      </c>
      <c r="BG32" s="3">
        <f t="shared" si="12"/>
        <v>-8.2886283897741775E-3</v>
      </c>
      <c r="BH32" s="3">
        <f t="shared" si="33"/>
        <v>-1.2661514116940893E-2</v>
      </c>
      <c r="BI32" s="3">
        <f t="shared" si="34"/>
        <v>-7.8379582399003833E-3</v>
      </c>
      <c r="BJ32" s="3">
        <f t="shared" si="35"/>
        <v>-7.8424477461489228E-3</v>
      </c>
    </row>
    <row r="33" spans="1:62" x14ac:dyDescent="0.3">
      <c r="A33" s="27">
        <v>44202</v>
      </c>
      <c r="B33" s="3">
        <v>210.48564147949199</v>
      </c>
      <c r="C33" s="3">
        <v>125.824325561523</v>
      </c>
      <c r="D33" s="3">
        <v>3138.3798828125</v>
      </c>
      <c r="E33" s="3">
        <v>1722.88000488281</v>
      </c>
      <c r="F33" s="3">
        <v>755.97998046875</v>
      </c>
      <c r="G33" s="3">
        <v>1735.2900390625</v>
      </c>
      <c r="H33" s="3">
        <v>263.30999755859301</v>
      </c>
      <c r="I33" s="3">
        <v>126.03491973876901</v>
      </c>
      <c r="J33" s="3">
        <v>230.27000427246</v>
      </c>
      <c r="K33" s="3">
        <v>129.25158691406199</v>
      </c>
      <c r="L33" s="3">
        <v>3748.13989257812</v>
      </c>
      <c r="N33" s="3">
        <f t="shared" si="2"/>
        <v>2.8059629880767822E-2</v>
      </c>
      <c r="O33" s="3">
        <f t="shared" si="23"/>
        <v>3.3553954039641454E-2</v>
      </c>
      <c r="P33" s="3">
        <f t="shared" si="24"/>
        <v>7.5486047193216166E-3</v>
      </c>
      <c r="Q33" s="3">
        <f t="shared" si="25"/>
        <v>2.9431191543695334E-2</v>
      </c>
      <c r="R33" s="3">
        <f t="shared" si="26"/>
        <v>7.644845147710555E-2</v>
      </c>
      <c r="S33" s="3">
        <f t="shared" si="27"/>
        <v>2.9503556748790238E-2</v>
      </c>
      <c r="T33" s="3">
        <f t="shared" si="28"/>
        <v>2.041229710855319E-2</v>
      </c>
      <c r="U33" s="3">
        <f t="shared" si="29"/>
        <v>5.6219966081316741E-2</v>
      </c>
      <c r="V33" s="3">
        <f t="shared" si="30"/>
        <v>1.1270768380780005E-2</v>
      </c>
      <c r="W33" s="3">
        <f t="shared" si="31"/>
        <v>3.2311425934338445E-2</v>
      </c>
      <c r="X33" s="3">
        <f t="shared" si="32"/>
        <v>1.4738260107753476E-2</v>
      </c>
      <c r="Z33" s="6" t="s">
        <v>37</v>
      </c>
      <c r="AA33" s="21">
        <v>-0.20724003724728751</v>
      </c>
      <c r="AB33" s="22">
        <v>-0.10418044959252988</v>
      </c>
      <c r="AC33" s="22">
        <v>-0.77423684453374808</v>
      </c>
      <c r="AD33" s="22">
        <v>1.4815654590011105E-2</v>
      </c>
      <c r="AE33" s="22">
        <v>-6.9404922848150433E-2</v>
      </c>
      <c r="AF33" s="22">
        <v>-9.9592145076864091E-2</v>
      </c>
      <c r="AG33" s="22">
        <v>0.52765760664285144</v>
      </c>
      <c r="AH33" s="22">
        <v>0.12653229033925426</v>
      </c>
      <c r="AI33" s="22">
        <v>0.16814966581334556</v>
      </c>
      <c r="AJ33" s="23">
        <v>9.5356628996978138E-2</v>
      </c>
      <c r="AK33" s="3"/>
      <c r="AL33" s="16" t="s">
        <v>18</v>
      </c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5"/>
      <c r="AZ33" s="28">
        <f t="shared" si="13"/>
        <v>44200</v>
      </c>
      <c r="BA33" s="3">
        <f t="shared" si="14"/>
        <v>28</v>
      </c>
      <c r="BB33" s="3">
        <f t="shared" si="8"/>
        <v>1.0746726478918105</v>
      </c>
      <c r="BC33" s="3">
        <f t="shared" si="9"/>
        <v>1.0497320911298027</v>
      </c>
      <c r="BD33" s="3">
        <f t="shared" si="10"/>
        <v>1.212107102665462</v>
      </c>
      <c r="BE33" s="3">
        <f t="shared" si="11"/>
        <v>0.8391797819542024</v>
      </c>
      <c r="BG33" s="3">
        <f t="shared" si="12"/>
        <v>7.6538183994460385E-3</v>
      </c>
      <c r="BH33" s="3">
        <f t="shared" si="33"/>
        <v>6.2227657760514019E-3</v>
      </c>
      <c r="BI33" s="3">
        <f t="shared" si="34"/>
        <v>7.7265704085123232E-3</v>
      </c>
      <c r="BJ33" s="3">
        <f t="shared" si="35"/>
        <v>8.8413647778626259E-3</v>
      </c>
    </row>
    <row r="34" spans="1:62" x14ac:dyDescent="0.3">
      <c r="A34" s="27">
        <v>44203</v>
      </c>
      <c r="B34" s="3">
        <v>216.47543334960901</v>
      </c>
      <c r="C34" s="3">
        <v>130.11785888671801</v>
      </c>
      <c r="D34" s="3">
        <v>3162.15991210937</v>
      </c>
      <c r="E34" s="3">
        <v>1774.33996582031</v>
      </c>
      <c r="F34" s="3">
        <v>816.03997802734295</v>
      </c>
      <c r="G34" s="3">
        <v>1787.25</v>
      </c>
      <c r="H34" s="3">
        <v>268.739990234375</v>
      </c>
      <c r="I34" s="3">
        <v>133.32356262207</v>
      </c>
      <c r="J34" s="3">
        <v>232.88000488281199</v>
      </c>
      <c r="K34" s="3">
        <v>133.49609375</v>
      </c>
      <c r="L34" s="3">
        <v>3803.7900390625</v>
      </c>
      <c r="N34" s="3">
        <f t="shared" si="2"/>
        <v>6.074373392065624E-3</v>
      </c>
      <c r="O34" s="3">
        <f t="shared" si="23"/>
        <v>8.5941956107964401E-3</v>
      </c>
      <c r="P34" s="3">
        <f t="shared" si="24"/>
        <v>6.4745672113453168E-3</v>
      </c>
      <c r="Q34" s="3">
        <f t="shared" si="25"/>
        <v>1.3151854104509475E-2</v>
      </c>
      <c r="R34" s="3">
        <f t="shared" si="26"/>
        <v>7.5481310236244603E-2</v>
      </c>
      <c r="S34" s="3">
        <f t="shared" si="27"/>
        <v>1.1106072298581182E-2</v>
      </c>
      <c r="T34" s="3">
        <f t="shared" si="28"/>
        <v>-4.3630913893846213E-3</v>
      </c>
      <c r="U34" s="3">
        <f t="shared" si="29"/>
        <v>-5.0524026077800599E-3</v>
      </c>
      <c r="V34" s="3">
        <f t="shared" si="30"/>
        <v>4.925986647876357E-3</v>
      </c>
      <c r="W34" s="3">
        <f t="shared" si="31"/>
        <v>1.1035422996270583E-3</v>
      </c>
      <c r="X34" s="3">
        <f t="shared" si="32"/>
        <v>5.4768373935143444E-3</v>
      </c>
      <c r="Z34" s="6" t="s">
        <v>38</v>
      </c>
      <c r="AA34" s="21">
        <v>-0.40228713650284614</v>
      </c>
      <c r="AB34" s="22">
        <v>6.9776125948091211E-2</v>
      </c>
      <c r="AC34" s="22">
        <v>0.3430941733919094</v>
      </c>
      <c r="AD34" s="22">
        <v>-0.69732328950893063</v>
      </c>
      <c r="AE34" s="22">
        <v>-0.20555234523767618</v>
      </c>
      <c r="AF34" s="22">
        <v>0.14652717212191851</v>
      </c>
      <c r="AG34" s="22">
        <v>0.30192633003262564</v>
      </c>
      <c r="AH34" s="22">
        <v>8.8061917488133926E-2</v>
      </c>
      <c r="AI34" s="22">
        <v>3.1496715860379082E-2</v>
      </c>
      <c r="AJ34" s="23">
        <v>0.2563094577919075</v>
      </c>
      <c r="AK34" s="3"/>
      <c r="AL34" s="16" t="s">
        <v>10</v>
      </c>
      <c r="AM34" s="17" t="s">
        <v>33</v>
      </c>
      <c r="AN34" s="17" t="s">
        <v>34</v>
      </c>
      <c r="AO34" s="17" t="s">
        <v>35</v>
      </c>
      <c r="AP34" s="17" t="s">
        <v>36</v>
      </c>
      <c r="AQ34" s="17" t="s">
        <v>37</v>
      </c>
      <c r="AR34" s="17" t="s">
        <v>38</v>
      </c>
      <c r="AS34" s="17" t="s">
        <v>39</v>
      </c>
      <c r="AT34" s="17" t="s">
        <v>40</v>
      </c>
      <c r="AU34" s="17" t="s">
        <v>41</v>
      </c>
      <c r="AV34" s="17" t="s">
        <v>42</v>
      </c>
      <c r="AW34" s="17" t="s">
        <v>10</v>
      </c>
      <c r="AX34" s="17" t="s">
        <v>19</v>
      </c>
      <c r="AY34" s="5"/>
      <c r="AZ34" s="28">
        <f t="shared" si="13"/>
        <v>44201</v>
      </c>
      <c r="BA34" s="3">
        <f t="shared" si="14"/>
        <v>29</v>
      </c>
      <c r="BB34" s="3">
        <f t="shared" si="8"/>
        <v>1.0829295553044906</v>
      </c>
      <c r="BC34" s="3">
        <f t="shared" si="9"/>
        <v>1.0562846945741469</v>
      </c>
      <c r="BD34" s="3">
        <f t="shared" si="10"/>
        <v>1.2215088082335277</v>
      </c>
      <c r="BE34" s="3">
        <f t="shared" si="11"/>
        <v>0.84663217262698465</v>
      </c>
      <c r="BG34" s="3">
        <f t="shared" si="12"/>
        <v>-7.9158014704299867E-3</v>
      </c>
      <c r="BH34" s="3">
        <f t="shared" si="33"/>
        <v>-7.0301280366246444E-3</v>
      </c>
      <c r="BI34" s="3">
        <f t="shared" si="34"/>
        <v>-4.7552070614310382E-3</v>
      </c>
      <c r="BJ34" s="3">
        <f t="shared" si="35"/>
        <v>-8.1091709827390279E-3</v>
      </c>
    </row>
    <row r="35" spans="1:62" x14ac:dyDescent="0.3">
      <c r="A35" s="27">
        <v>44204</v>
      </c>
      <c r="B35" s="3">
        <v>217.79438781738199</v>
      </c>
      <c r="C35" s="3">
        <v>131.24093627929599</v>
      </c>
      <c r="D35" s="3">
        <v>3182.69995117187</v>
      </c>
      <c r="E35" s="3">
        <v>1797.82995605468</v>
      </c>
      <c r="F35" s="3">
        <v>880.02001953125</v>
      </c>
      <c r="G35" s="3">
        <v>1807.2099609375</v>
      </c>
      <c r="H35" s="3">
        <v>267.57000732421801</v>
      </c>
      <c r="I35" s="3">
        <v>132.65165710449199</v>
      </c>
      <c r="J35" s="3">
        <v>234.02999877929599</v>
      </c>
      <c r="K35" s="3">
        <v>133.64349365234301</v>
      </c>
      <c r="L35" s="3">
        <v>3824.67993164062</v>
      </c>
      <c r="N35" s="3">
        <f t="shared" si="2"/>
        <v>-9.7459564640018925E-3</v>
      </c>
      <c r="O35" s="3">
        <f t="shared" si="23"/>
        <v>-2.3523308354504557E-2</v>
      </c>
      <c r="P35" s="3">
        <f t="shared" si="24"/>
        <v>-2.1754381835192405E-2</v>
      </c>
      <c r="Q35" s="3">
        <f t="shared" si="25"/>
        <v>-2.3376705753612725E-2</v>
      </c>
      <c r="R35" s="3">
        <f t="shared" si="26"/>
        <v>-8.1442348326395297E-2</v>
      </c>
      <c r="S35" s="3">
        <f t="shared" si="27"/>
        <v>-2.2659494432501148E-2</v>
      </c>
      <c r="T35" s="3">
        <f t="shared" si="28"/>
        <v>-4.0927933051801091E-2</v>
      </c>
      <c r="U35" s="3">
        <f t="shared" si="29"/>
        <v>2.5634904193070795E-2</v>
      </c>
      <c r="V35" s="3">
        <f t="shared" si="30"/>
        <v>-2.5670921318798889E-3</v>
      </c>
      <c r="W35" s="3">
        <f t="shared" si="31"/>
        <v>1.4813928919804376E-2</v>
      </c>
      <c r="X35" s="3">
        <f t="shared" si="32"/>
        <v>-6.5763276166208584E-3</v>
      </c>
      <c r="Z35" s="6" t="s">
        <v>39</v>
      </c>
      <c r="AA35" s="21">
        <v>-0.33602784937080621</v>
      </c>
      <c r="AB35" s="22">
        <v>-4.3927031152229831E-2</v>
      </c>
      <c r="AC35" s="22">
        <v>5.7531390850595991E-2</v>
      </c>
      <c r="AD35" s="22">
        <v>-1.7021376637346059E-2</v>
      </c>
      <c r="AE35" s="22">
        <v>0.14099653949319974</v>
      </c>
      <c r="AF35" s="22">
        <v>-0.11271445840983838</v>
      </c>
      <c r="AG35" s="22">
        <v>0.29053312019921385</v>
      </c>
      <c r="AH35" s="22">
        <v>-0.2749052407050373</v>
      </c>
      <c r="AI35" s="22">
        <v>-0.52268469101872894</v>
      </c>
      <c r="AJ35" s="23">
        <v>-0.64481770088664325</v>
      </c>
      <c r="AK35" s="3"/>
      <c r="AL35" s="3">
        <v>1</v>
      </c>
      <c r="AM35" s="3">
        <f>AM24</f>
        <v>0.38538079035452777</v>
      </c>
      <c r="AN35" s="3">
        <f t="shared" ref="AN35:AV35" si="42">AN24</f>
        <v>0.35474262634983084</v>
      </c>
      <c r="AO35" s="3">
        <f t="shared" si="42"/>
        <v>0.34685955686831221</v>
      </c>
      <c r="AP35" s="3">
        <f t="shared" si="42"/>
        <v>0.40575196470633157</v>
      </c>
      <c r="AQ35" s="3">
        <f t="shared" si="42"/>
        <v>0.20724003724728751</v>
      </c>
      <c r="AR35" s="3">
        <f t="shared" si="42"/>
        <v>0.40228713650284614</v>
      </c>
      <c r="AS35" s="3">
        <f t="shared" si="42"/>
        <v>0.33602784937080621</v>
      </c>
      <c r="AT35" s="3">
        <f t="shared" si="42"/>
        <v>0.30640725517281342</v>
      </c>
      <c r="AU35" s="3">
        <f t="shared" si="42"/>
        <v>0.14645677112819019</v>
      </c>
      <c r="AV35" s="3">
        <f t="shared" si="42"/>
        <v>8.7521573361630536E-2</v>
      </c>
      <c r="AW35" s="3">
        <f>HLOOKUP($AL35,$AA$55:$AJ$56,2,FALSE)</f>
        <v>4.6608447513825277</v>
      </c>
      <c r="AX35" s="3">
        <f>1/SQRT(AW35)</f>
        <v>0.46319907281745903</v>
      </c>
      <c r="AY35" s="5"/>
      <c r="AZ35" s="28">
        <f t="shared" si="13"/>
        <v>44202</v>
      </c>
      <c r="BA35" s="3">
        <f t="shared" si="14"/>
        <v>30</v>
      </c>
      <c r="BB35" s="3">
        <f t="shared" si="8"/>
        <v>1.0743911387281411</v>
      </c>
      <c r="BC35" s="3">
        <f t="shared" si="9"/>
        <v>1.0488849190890968</v>
      </c>
      <c r="BD35" s="3">
        <f t="shared" si="10"/>
        <v>1.2157140694336581</v>
      </c>
      <c r="BE35" s="3">
        <f t="shared" si="11"/>
        <v>0.8397944491838476</v>
      </c>
      <c r="BG35" s="3">
        <f t="shared" si="12"/>
        <v>3.4819886942580647E-2</v>
      </c>
      <c r="BH35" s="3">
        <f t="shared" si="33"/>
        <v>2.9005034973446774E-2</v>
      </c>
      <c r="BI35" s="3">
        <f t="shared" si="34"/>
        <v>3.4844776791098708E-2</v>
      </c>
      <c r="BJ35" s="3">
        <f t="shared" si="35"/>
        <v>3.5164867328897342E-2</v>
      </c>
    </row>
    <row r="36" spans="1:62" x14ac:dyDescent="0.3">
      <c r="A36" s="27">
        <v>44207</v>
      </c>
      <c r="B36" s="3">
        <v>215.68208312988199</v>
      </c>
      <c r="C36" s="3">
        <v>128.18974304199199</v>
      </c>
      <c r="D36" s="3">
        <v>3114.2099609375</v>
      </c>
      <c r="E36" s="3">
        <v>1756.2900390625</v>
      </c>
      <c r="F36" s="3">
        <v>811.19000244140602</v>
      </c>
      <c r="G36" s="3">
        <v>1766.71997070312</v>
      </c>
      <c r="H36" s="3">
        <v>256.83999633789</v>
      </c>
      <c r="I36" s="3">
        <v>136.09613037109301</v>
      </c>
      <c r="J36" s="3">
        <v>233.42999267578099</v>
      </c>
      <c r="K36" s="3">
        <v>135.63801574707</v>
      </c>
      <c r="L36" s="3">
        <v>3799.61010742187</v>
      </c>
      <c r="N36" s="3">
        <f t="shared" si="2"/>
        <v>-1.1840512401132486E-2</v>
      </c>
      <c r="O36" s="3">
        <f t="shared" si="23"/>
        <v>-1.3966348794882677E-3</v>
      </c>
      <c r="P36" s="3">
        <f t="shared" si="24"/>
        <v>2.1235211429999623E-3</v>
      </c>
      <c r="Q36" s="3">
        <f t="shared" si="25"/>
        <v>-1.0796611093288888E-2</v>
      </c>
      <c r="R36" s="3">
        <f t="shared" si="26"/>
        <v>4.6075003355075417E-2</v>
      </c>
      <c r="S36" s="3">
        <f t="shared" si="27"/>
        <v>-1.1482262033106316E-2</v>
      </c>
      <c r="T36" s="3">
        <f t="shared" si="28"/>
        <v>-2.2641882652861156E-2</v>
      </c>
      <c r="U36" s="3">
        <f t="shared" si="29"/>
        <v>-1.0089978750236206E-2</v>
      </c>
      <c r="V36" s="3">
        <f t="shared" si="30"/>
        <v>-1.7150195165882565E-3</v>
      </c>
      <c r="W36" s="3">
        <f t="shared" si="31"/>
        <v>1.5596635268958714E-2</v>
      </c>
      <c r="X36" s="3">
        <f t="shared" si="32"/>
        <v>4.1570203057084143E-4</v>
      </c>
      <c r="Z36" s="6" t="s">
        <v>40</v>
      </c>
      <c r="AA36" s="21">
        <v>-0.30640725517281342</v>
      </c>
      <c r="AB36" s="22">
        <v>-0.1608126650960659</v>
      </c>
      <c r="AC36" s="22">
        <v>-0.31829632893325011</v>
      </c>
      <c r="AD36" s="22">
        <v>-2.0171068076979375E-2</v>
      </c>
      <c r="AE36" s="22">
        <v>-0.14183534850764304</v>
      </c>
      <c r="AF36" s="22">
        <v>0.14171591720531435</v>
      </c>
      <c r="AG36" s="22">
        <v>-0.46176627420519228</v>
      </c>
      <c r="AH36" s="22">
        <v>-0.18021598627319219</v>
      </c>
      <c r="AI36" s="22">
        <v>-0.5662333945895901</v>
      </c>
      <c r="AJ36" s="23">
        <v>0.41473803490464994</v>
      </c>
      <c r="AK36" s="3"/>
      <c r="AL36" s="3">
        <v>2</v>
      </c>
      <c r="AM36" s="3">
        <f t="shared" ref="AM36:AV38" si="43">AM25</f>
        <v>-9.7418718557065853E-2</v>
      </c>
      <c r="AN36" s="3">
        <f t="shared" si="43"/>
        <v>-7.3820046252953408E-2</v>
      </c>
      <c r="AO36" s="3">
        <f t="shared" si="43"/>
        <v>-0.16950880518835493</v>
      </c>
      <c r="AP36" s="3">
        <f t="shared" si="43"/>
        <v>5.7416745067922249E-2</v>
      </c>
      <c r="AQ36" s="3">
        <f t="shared" si="43"/>
        <v>-0.10418044959252988</v>
      </c>
      <c r="AR36" s="3">
        <f t="shared" si="43"/>
        <v>6.9776125948091211E-2</v>
      </c>
      <c r="AS36" s="3">
        <f t="shared" si="43"/>
        <v>-4.3927031152229831E-2</v>
      </c>
      <c r="AT36" s="3">
        <f t="shared" si="43"/>
        <v>-0.1608126650960659</v>
      </c>
      <c r="AU36" s="3">
        <f t="shared" si="43"/>
        <v>0.65795555840672304</v>
      </c>
      <c r="AV36" s="3">
        <f t="shared" si="43"/>
        <v>0.69037105125161202</v>
      </c>
      <c r="AW36" s="3">
        <f t="shared" ref="AW36:AW38" si="44">HLOOKUP($AL36,$AA$55:$AJ$56,2,FALSE)</f>
        <v>1.6832657767821888</v>
      </c>
      <c r="AX36" s="3">
        <f t="shared" ref="AX36:AX38" si="45">1/SQRT(AW36)</f>
        <v>0.770767959926145</v>
      </c>
      <c r="AY36" s="5"/>
      <c r="AZ36" s="28">
        <f t="shared" si="13"/>
        <v>44203</v>
      </c>
      <c r="BA36" s="3">
        <f t="shared" si="14"/>
        <v>31</v>
      </c>
      <c r="BB36" s="3">
        <f t="shared" si="8"/>
        <v>1.1124602515637809</v>
      </c>
      <c r="BC36" s="3">
        <f t="shared" si="9"/>
        <v>1.0797533690002294</v>
      </c>
      <c r="BD36" s="3">
        <f t="shared" si="10"/>
        <v>1.2588220370085021</v>
      </c>
      <c r="BE36" s="3">
        <f t="shared" si="11"/>
        <v>0.86985108111843457</v>
      </c>
      <c r="BG36" s="3">
        <f t="shared" si="12"/>
        <v>1.5621382090346789E-2</v>
      </c>
      <c r="BH36" s="3">
        <f t="shared" si="33"/>
        <v>1.0278811434517948E-2</v>
      </c>
      <c r="BI36" s="3">
        <f t="shared" si="34"/>
        <v>1.1071262634821583E-2</v>
      </c>
      <c r="BJ36" s="3">
        <f t="shared" si="35"/>
        <v>6.1609791066853936E-3</v>
      </c>
    </row>
    <row r="37" spans="1:62" x14ac:dyDescent="0.3">
      <c r="A37" s="27">
        <v>44208</v>
      </c>
      <c r="B37" s="3">
        <v>213.14335632324199</v>
      </c>
      <c r="C37" s="3">
        <v>128.01083374023401</v>
      </c>
      <c r="D37" s="3">
        <v>3120.830078125</v>
      </c>
      <c r="E37" s="3">
        <v>1737.43005371093</v>
      </c>
      <c r="F37" s="3">
        <v>849.44000244140602</v>
      </c>
      <c r="G37" s="3">
        <v>1746.55004882812</v>
      </c>
      <c r="H37" s="3">
        <v>251.08999633789</v>
      </c>
      <c r="I37" s="3">
        <v>134.72982788085901</v>
      </c>
      <c r="J37" s="3">
        <v>233.02999877929599</v>
      </c>
      <c r="K37" s="3">
        <v>137.770095825195</v>
      </c>
      <c r="L37" s="3">
        <v>3801.18994140625</v>
      </c>
      <c r="N37" s="3">
        <f t="shared" si="2"/>
        <v>6.5388774555277251E-3</v>
      </c>
      <c r="O37" s="3">
        <f t="shared" si="23"/>
        <v>1.6096577771798515E-2</v>
      </c>
      <c r="P37" s="3">
        <f t="shared" si="24"/>
        <v>1.4335165650267712E-2</v>
      </c>
      <c r="Q37" s="3">
        <f t="shared" si="25"/>
        <v>5.6360825856387464E-3</v>
      </c>
      <c r="R37" s="3">
        <f t="shared" si="26"/>
        <v>5.8338291161952327E-3</v>
      </c>
      <c r="S37" s="3">
        <f t="shared" si="27"/>
        <v>4.4844905396468349E-3</v>
      </c>
      <c r="T37" s="3">
        <f t="shared" si="28"/>
        <v>2.188066261677335E-3</v>
      </c>
      <c r="U37" s="3">
        <f t="shared" si="29"/>
        <v>3.4792411978132876E-3</v>
      </c>
      <c r="V37" s="3">
        <f t="shared" si="30"/>
        <v>6.3310120724882069E-3</v>
      </c>
      <c r="W37" s="3">
        <f t="shared" si="31"/>
        <v>9.2681500790003923E-4</v>
      </c>
      <c r="X37" s="3">
        <f t="shared" si="32"/>
        <v>2.2730563867252584E-3</v>
      </c>
      <c r="Z37" s="6" t="s">
        <v>41</v>
      </c>
      <c r="AA37" s="21">
        <v>-0.14645677112819019</v>
      </c>
      <c r="AB37" s="22">
        <v>0.65795555840672304</v>
      </c>
      <c r="AC37" s="22">
        <v>-9.1303776504543951E-2</v>
      </c>
      <c r="AD37" s="22">
        <v>2.4139068723141092E-2</v>
      </c>
      <c r="AE37" s="22">
        <v>-0.49798648412694163</v>
      </c>
      <c r="AF37" s="22">
        <v>-0.45900045374697912</v>
      </c>
      <c r="AG37" s="22">
        <v>-0.1869049623974349</v>
      </c>
      <c r="AH37" s="22">
        <v>-0.16302358161308972</v>
      </c>
      <c r="AI37" s="22">
        <v>8.9036192175001597E-2</v>
      </c>
      <c r="AJ37" s="23">
        <v>-9.2823873808275836E-2</v>
      </c>
      <c r="AK37" s="3"/>
      <c r="AL37" s="3">
        <v>3</v>
      </c>
      <c r="AM37" s="3">
        <f t="shared" si="43"/>
        <v>-7.7517506607752987E-2</v>
      </c>
      <c r="AN37" s="3">
        <f t="shared" si="43"/>
        <v>0.13920107739773982</v>
      </c>
      <c r="AO37" s="3">
        <f t="shared" si="43"/>
        <v>-2.4132571758131993E-2</v>
      </c>
      <c r="AP37" s="3">
        <f t="shared" si="43"/>
        <v>-0.34324832433735836</v>
      </c>
      <c r="AQ37" s="3">
        <f t="shared" si="43"/>
        <v>0.77423684453374808</v>
      </c>
      <c r="AR37" s="3">
        <f t="shared" si="43"/>
        <v>-0.3430941733919094</v>
      </c>
      <c r="AS37" s="3">
        <f t="shared" si="43"/>
        <v>-5.7531390850595991E-2</v>
      </c>
      <c r="AT37" s="3">
        <f t="shared" si="43"/>
        <v>0.31829632893325011</v>
      </c>
      <c r="AU37" s="3">
        <f t="shared" si="43"/>
        <v>9.1303776504543951E-2</v>
      </c>
      <c r="AV37" s="3">
        <f t="shared" si="43"/>
        <v>0.16154629751847444</v>
      </c>
      <c r="AW37" s="3">
        <f t="shared" si="44"/>
        <v>0.95842052424187862</v>
      </c>
      <c r="AX37" s="3">
        <f t="shared" si="45"/>
        <v>1.0214613707613016</v>
      </c>
      <c r="AY37" s="5"/>
      <c r="AZ37" s="28">
        <f t="shared" si="13"/>
        <v>44204</v>
      </c>
      <c r="BA37" s="3">
        <f t="shared" si="14"/>
        <v>32</v>
      </c>
      <c r="BB37" s="3">
        <f t="shared" si="8"/>
        <v>1.1299748632653175</v>
      </c>
      <c r="BC37" s="3">
        <f t="shared" si="9"/>
        <v>1.090909186326126</v>
      </c>
      <c r="BD37" s="3">
        <f t="shared" si="10"/>
        <v>1.2728362205980404</v>
      </c>
      <c r="BE37" s="3">
        <f t="shared" si="11"/>
        <v>0.87522675816812567</v>
      </c>
      <c r="BG37" s="3">
        <f t="shared" si="12"/>
        <v>-2.186285323364405E-2</v>
      </c>
      <c r="BH37" s="3">
        <f t="shared" si="33"/>
        <v>-1.6215897314190597E-2</v>
      </c>
      <c r="BI37" s="3">
        <f t="shared" si="34"/>
        <v>-6.5838961006595698E-3</v>
      </c>
      <c r="BJ37" s="3">
        <f t="shared" si="35"/>
        <v>7.2854463098230571E-3</v>
      </c>
    </row>
    <row r="38" spans="1:62" x14ac:dyDescent="0.3">
      <c r="A38" s="27">
        <v>44209</v>
      </c>
      <c r="B38" s="3">
        <v>214.54164123535099</v>
      </c>
      <c r="C38" s="3">
        <v>130.08804321289</v>
      </c>
      <c r="D38" s="3">
        <v>3165.88989257812</v>
      </c>
      <c r="E38" s="3">
        <v>1747.25</v>
      </c>
      <c r="F38" s="3">
        <v>854.40997314453102</v>
      </c>
      <c r="G38" s="3">
        <v>1754.40002441406</v>
      </c>
      <c r="H38" s="3">
        <v>251.63999938964801</v>
      </c>
      <c r="I38" s="3">
        <v>135.19940185546801</v>
      </c>
      <c r="J38" s="3">
        <v>234.509994506835</v>
      </c>
      <c r="K38" s="3">
        <v>137.89784240722599</v>
      </c>
      <c r="L38" s="3">
        <v>3809.84008789062</v>
      </c>
      <c r="N38" s="3">
        <f t="shared" si="2"/>
        <v>-1.5465124246039963E-2</v>
      </c>
      <c r="O38" s="3">
        <f t="shared" si="23"/>
        <v>-1.5242760904979669E-2</v>
      </c>
      <c r="P38" s="3">
        <f t="shared" si="24"/>
        <v>-1.2209821148356781E-2</v>
      </c>
      <c r="Q38" s="3">
        <f t="shared" si="25"/>
        <v>-9.3900389206940105E-3</v>
      </c>
      <c r="R38" s="3">
        <f t="shared" si="26"/>
        <v>-1.1074513468518177E-2</v>
      </c>
      <c r="S38" s="3">
        <f t="shared" si="27"/>
        <v>-8.1383450203915686E-3</v>
      </c>
      <c r="T38" s="3">
        <f t="shared" si="28"/>
        <v>-2.4132445299875016E-2</v>
      </c>
      <c r="U38" s="3">
        <f t="shared" si="29"/>
        <v>-2.4802864470909292E-2</v>
      </c>
      <c r="V38" s="3">
        <f t="shared" si="30"/>
        <v>2.1724276085919314E-3</v>
      </c>
      <c r="W38" s="3">
        <f t="shared" si="31"/>
        <v>5.8254693564876447E-3</v>
      </c>
      <c r="X38" s="3">
        <f t="shared" si="32"/>
        <v>-3.7605130687428101E-3</v>
      </c>
      <c r="Z38" s="6" t="s">
        <v>42</v>
      </c>
      <c r="AA38" s="24">
        <v>-8.7521573361630536E-2</v>
      </c>
      <c r="AB38" s="25">
        <v>0.69037105125161202</v>
      </c>
      <c r="AC38" s="25">
        <v>-0.16154629751847444</v>
      </c>
      <c r="AD38" s="25">
        <v>-1.5286529988639811E-2</v>
      </c>
      <c r="AE38" s="25">
        <v>0.54483981102158252</v>
      </c>
      <c r="AF38" s="25">
        <v>0.35073290989005823</v>
      </c>
      <c r="AG38" s="25">
        <v>-1.7078805589308285E-2</v>
      </c>
      <c r="AH38" s="25">
        <v>0.22403471426683808</v>
      </c>
      <c r="AI38" s="25">
        <v>-0.13049118811231519</v>
      </c>
      <c r="AJ38" s="26">
        <v>4.4963527698587885E-2</v>
      </c>
      <c r="AK38" s="3"/>
      <c r="AL38" s="3">
        <v>4</v>
      </c>
      <c r="AM38" s="3">
        <f t="shared" si="43"/>
        <v>0.13701000672298594</v>
      </c>
      <c r="AN38" s="3">
        <f t="shared" si="43"/>
        <v>0.3042287900415957</v>
      </c>
      <c r="AO38" s="3">
        <f t="shared" si="43"/>
        <v>0.3247853129341457</v>
      </c>
      <c r="AP38" s="3">
        <f t="shared" si="43"/>
        <v>-0.28415278770346641</v>
      </c>
      <c r="AQ38" s="3">
        <f t="shared" si="43"/>
        <v>-0.52765760664285144</v>
      </c>
      <c r="AR38" s="3">
        <f t="shared" si="43"/>
        <v>-0.30192633003262564</v>
      </c>
      <c r="AS38" s="3">
        <f t="shared" si="43"/>
        <v>-0.29053312019921385</v>
      </c>
      <c r="AT38" s="3">
        <f t="shared" si="43"/>
        <v>0.46176627420519228</v>
      </c>
      <c r="AU38" s="3">
        <f t="shared" si="43"/>
        <v>0.1869049623974349</v>
      </c>
      <c r="AV38" s="3">
        <f t="shared" si="43"/>
        <v>1.7078805589308285E-2</v>
      </c>
      <c r="AW38" s="3">
        <f t="shared" si="44"/>
        <v>0.63281743606138419</v>
      </c>
      <c r="AX38" s="3">
        <f t="shared" si="45"/>
        <v>1.2570738194080355</v>
      </c>
      <c r="AY38" s="5"/>
      <c r="AZ38" s="28">
        <f t="shared" si="13"/>
        <v>44207</v>
      </c>
      <c r="BA38" s="3">
        <f t="shared" si="14"/>
        <v>33</v>
      </c>
      <c r="BB38" s="3">
        <f t="shared" si="8"/>
        <v>1.1055384864744335</v>
      </c>
      <c r="BC38" s="3">
        <f t="shared" si="9"/>
        <v>1.0733617730214897</v>
      </c>
      <c r="BD38" s="3">
        <f t="shared" si="10"/>
        <v>1.2644835259777152</v>
      </c>
      <c r="BE38" s="3">
        <f t="shared" si="11"/>
        <v>0.88162645975806964</v>
      </c>
      <c r="BG38" s="3">
        <f t="shared" si="12"/>
        <v>2.6793800037631377E-3</v>
      </c>
      <c r="BH38" s="3">
        <f t="shared" si="33"/>
        <v>-8.3552606635599325E-4</v>
      </c>
      <c r="BI38" s="3">
        <f t="shared" si="34"/>
        <v>6.8255356823377633E-3</v>
      </c>
      <c r="BJ38" s="3">
        <f t="shared" si="35"/>
        <v>9.3952917870943342E-3</v>
      </c>
    </row>
    <row r="39" spans="1:62" x14ac:dyDescent="0.3">
      <c r="A39" s="27">
        <v>44210</v>
      </c>
      <c r="B39" s="3">
        <v>211.249252319335</v>
      </c>
      <c r="C39" s="3">
        <v>128.12017822265599</v>
      </c>
      <c r="D39" s="3">
        <v>3127.46997070312</v>
      </c>
      <c r="E39" s="3">
        <v>1730.92004394531</v>
      </c>
      <c r="F39" s="3">
        <v>845</v>
      </c>
      <c r="G39" s="3">
        <v>1740.18005371093</v>
      </c>
      <c r="H39" s="3">
        <v>245.63999938964801</v>
      </c>
      <c r="I39" s="3">
        <v>131.88731384277301</v>
      </c>
      <c r="J39" s="3">
        <v>235.02000427246</v>
      </c>
      <c r="K39" s="3">
        <v>138.70350646972599</v>
      </c>
      <c r="L39" s="3">
        <v>3795.5400390625</v>
      </c>
      <c r="N39" s="3">
        <f t="shared" si="2"/>
        <v>-1.7385988517464313E-3</v>
      </c>
      <c r="O39" s="3">
        <f t="shared" si="23"/>
        <v>-1.3825704762458813E-2</v>
      </c>
      <c r="P39" s="3">
        <f t="shared" si="24"/>
        <v>-7.452221304371065E-3</v>
      </c>
      <c r="Q39" s="3">
        <f t="shared" si="25"/>
        <v>-1.9083484894579783E-3</v>
      </c>
      <c r="R39" s="3">
        <f t="shared" si="26"/>
        <v>-2.2548200500403404E-2</v>
      </c>
      <c r="S39" s="3">
        <f t="shared" si="27"/>
        <v>-2.295563511639287E-3</v>
      </c>
      <c r="T39" s="3">
        <f t="shared" si="28"/>
        <v>2.3019129959048534E-2</v>
      </c>
      <c r="U39" s="3">
        <f t="shared" si="29"/>
        <v>-2.6153043236235796E-2</v>
      </c>
      <c r="V39" s="3">
        <f t="shared" si="30"/>
        <v>-6.5313619191869066E-3</v>
      </c>
      <c r="W39" s="3">
        <f t="shared" si="31"/>
        <v>-1.80841756984087E-2</v>
      </c>
      <c r="X39" s="3">
        <f t="shared" si="32"/>
        <v>-7.2160007982784435E-3</v>
      </c>
      <c r="AK39" s="3"/>
      <c r="AL39" s="8" t="s">
        <v>30</v>
      </c>
      <c r="AM39" s="3">
        <f>SUMPRODUCT(AM35:AM38,$AX$35:$AX$38)/$AX$40</f>
        <v>5.593486900085827E-2</v>
      </c>
      <c r="AN39" s="3">
        <f t="shared" ref="AN39:AV39" si="46">SUMPRODUCT(AN35:AN38,$AX$35:$AX$38)/$AX$40</f>
        <v>0.17994149453932298</v>
      </c>
      <c r="AO39" s="3">
        <f t="shared" si="46"/>
        <v>0.11776268509273655</v>
      </c>
      <c r="AP39" s="3">
        <f t="shared" si="46"/>
        <v>-0.13540689301575037</v>
      </c>
      <c r="AQ39" s="3">
        <f t="shared" si="46"/>
        <v>4.0780872724202631E-2</v>
      </c>
      <c r="AR39" s="3">
        <f t="shared" si="46"/>
        <v>-0.13946778323680287</v>
      </c>
      <c r="AS39" s="3">
        <f t="shared" si="46"/>
        <v>-8.6034801737495684E-2</v>
      </c>
      <c r="AT39" s="3">
        <f t="shared" si="46"/>
        <v>0.26294076032716784</v>
      </c>
      <c r="AU39" s="3">
        <f t="shared" si="46"/>
        <v>0.25713473256449343</v>
      </c>
      <c r="AV39" s="3">
        <f t="shared" si="46"/>
        <v>0.21612468038413374</v>
      </c>
      <c r="AW39" s="7"/>
      <c r="AX39" s="17" t="s">
        <v>5</v>
      </c>
      <c r="AY39" s="5"/>
      <c r="AZ39" s="28">
        <f t="shared" si="13"/>
        <v>44208</v>
      </c>
      <c r="BA39" s="3">
        <f t="shared" si="14"/>
        <v>34</v>
      </c>
      <c r="BB39" s="3">
        <f t="shared" si="8"/>
        <v>1.1085046161081924</v>
      </c>
      <c r="BC39" s="3">
        <f t="shared" si="9"/>
        <v>1.0724653258361465</v>
      </c>
      <c r="BD39" s="3">
        <f t="shared" si="10"/>
        <v>1.2731438253731784</v>
      </c>
      <c r="BE39" s="3">
        <f t="shared" si="11"/>
        <v>0.88994863099077626</v>
      </c>
      <c r="BG39" s="3">
        <f t="shared" si="12"/>
        <v>6.53318536771616E-3</v>
      </c>
      <c r="BH39" s="3">
        <f t="shared" si="33"/>
        <v>6.6713374882405863E-3</v>
      </c>
      <c r="BI39" s="3">
        <f t="shared" si="34"/>
        <v>6.9239759754789465E-3</v>
      </c>
      <c r="BJ39" s="3">
        <f t="shared" si="35"/>
        <v>7.839558665852342E-3</v>
      </c>
    </row>
    <row r="40" spans="1:62" x14ac:dyDescent="0.3">
      <c r="A40" s="27">
        <v>44211</v>
      </c>
      <c r="B40" s="3">
        <v>210.88229370117099</v>
      </c>
      <c r="C40" s="3">
        <v>126.36101531982401</v>
      </c>
      <c r="D40" s="3">
        <v>3104.25</v>
      </c>
      <c r="E40" s="3">
        <v>1727.61999511718</v>
      </c>
      <c r="F40" s="3">
        <v>826.15997314453102</v>
      </c>
      <c r="G40" s="3">
        <v>1736.18994140625</v>
      </c>
      <c r="H40" s="3">
        <v>251.36000061035099</v>
      </c>
      <c r="I40" s="3">
        <v>128.48277282714801</v>
      </c>
      <c r="J40" s="3">
        <v>233.49000549316401</v>
      </c>
      <c r="K40" s="3">
        <v>136.21771240234301</v>
      </c>
      <c r="L40" s="3">
        <v>3768.25</v>
      </c>
      <c r="N40" s="3">
        <f t="shared" si="2"/>
        <v>1.7665914071800515E-2</v>
      </c>
      <c r="O40" s="3">
        <f t="shared" si="23"/>
        <v>5.4123811882949013E-3</v>
      </c>
      <c r="P40" s="3">
        <f t="shared" si="24"/>
        <v>5.3044247162450375E-3</v>
      </c>
      <c r="Q40" s="3">
        <f t="shared" si="25"/>
        <v>3.2376699992348712E-2</v>
      </c>
      <c r="R40" s="3">
        <f t="shared" si="26"/>
        <v>2.2015499815694284E-2</v>
      </c>
      <c r="S40" s="3">
        <f t="shared" si="27"/>
        <v>3.1002919717396438E-2</v>
      </c>
      <c r="T40" s="3">
        <f t="shared" si="28"/>
        <v>3.8017322145735832E-2</v>
      </c>
      <c r="U40" s="3">
        <f t="shared" si="29"/>
        <v>1.2806929414603374E-2</v>
      </c>
      <c r="V40" s="3">
        <f t="shared" si="30"/>
        <v>4.5295246198397976E-3</v>
      </c>
      <c r="W40" s="3">
        <f t="shared" si="31"/>
        <v>-4.3373067483480909E-3</v>
      </c>
      <c r="X40" s="3">
        <f t="shared" si="32"/>
        <v>8.1034576357605914E-3</v>
      </c>
      <c r="Z40" s="4" t="s">
        <v>27</v>
      </c>
      <c r="AK40" s="3"/>
      <c r="AL40" s="8" t="s">
        <v>7</v>
      </c>
      <c r="AM40" s="3">
        <f>B3</f>
        <v>208.64109802246</v>
      </c>
      <c r="AN40" s="3">
        <f t="shared" ref="AN40:AV40" si="47">C3</f>
        <v>116.621055603027</v>
      </c>
      <c r="AO40" s="3">
        <f t="shared" si="47"/>
        <v>3099.39990234375</v>
      </c>
      <c r="AP40" s="3">
        <f t="shared" si="47"/>
        <v>1736.38000488281</v>
      </c>
      <c r="AQ40" s="3">
        <f t="shared" si="47"/>
        <v>489.60998535156199</v>
      </c>
      <c r="AR40" s="3">
        <f t="shared" si="47"/>
        <v>1742.18994140625</v>
      </c>
      <c r="AS40" s="3">
        <f t="shared" si="47"/>
        <v>269.70001220703102</v>
      </c>
      <c r="AT40" s="3">
        <f t="shared" si="47"/>
        <v>130.72467041015599</v>
      </c>
      <c r="AU40" s="3">
        <f t="shared" si="47"/>
        <v>227.009994506835</v>
      </c>
      <c r="AV40" s="3">
        <f t="shared" si="47"/>
        <v>111.763366699218</v>
      </c>
      <c r="AW40" s="7"/>
      <c r="AX40" s="5">
        <f>SUM(AX35:AX38)</f>
        <v>3.512502222912941</v>
      </c>
      <c r="AY40" s="5"/>
      <c r="AZ40" s="28">
        <f t="shared" si="13"/>
        <v>44209</v>
      </c>
      <c r="BA40" s="3">
        <f t="shared" si="14"/>
        <v>35</v>
      </c>
      <c r="BB40" s="3">
        <f t="shared" si="8"/>
        <v>1.1157703907289747</v>
      </c>
      <c r="BC40" s="3">
        <f t="shared" si="9"/>
        <v>1.0796440231003059</v>
      </c>
      <c r="BD40" s="3">
        <f t="shared" si="10"/>
        <v>1.281989631367455</v>
      </c>
      <c r="BE40" s="3">
        <f t="shared" si="11"/>
        <v>0.89695285463160235</v>
      </c>
      <c r="BG40" s="3">
        <f t="shared" si="12"/>
        <v>-1.0809904187578587E-2</v>
      </c>
      <c r="BH40" s="3">
        <f t="shared" si="33"/>
        <v>-9.1532679775277875E-3</v>
      </c>
      <c r="BI40" s="3">
        <f t="shared" si="34"/>
        <v>-7.8849672895341394E-3</v>
      </c>
      <c r="BJ40" s="3">
        <f t="shared" si="35"/>
        <v>-7.1193527830860498E-3</v>
      </c>
    </row>
    <row r="41" spans="1:62" x14ac:dyDescent="0.3">
      <c r="A41" s="27">
        <v>44215</v>
      </c>
      <c r="B41" s="3">
        <v>214.64082336425699</v>
      </c>
      <c r="C41" s="3">
        <v>127.046783447265</v>
      </c>
      <c r="D41" s="3">
        <v>3120.76000976562</v>
      </c>
      <c r="E41" s="3">
        <v>1784.46997070312</v>
      </c>
      <c r="F41" s="3">
        <v>844.54998779296795</v>
      </c>
      <c r="G41" s="3">
        <v>1790.85998535156</v>
      </c>
      <c r="H41" s="3">
        <v>261.100006103515</v>
      </c>
      <c r="I41" s="3">
        <v>130.13882446289</v>
      </c>
      <c r="J41" s="3">
        <v>234.55000305175699</v>
      </c>
      <c r="K41" s="3">
        <v>135.628173828125</v>
      </c>
      <c r="L41" s="3">
        <v>3798.90991210937</v>
      </c>
      <c r="N41" s="3">
        <f t="shared" si="2"/>
        <v>3.5849338321816582E-2</v>
      </c>
      <c r="O41" s="3">
        <f t="shared" si="23"/>
        <v>3.2327944558337762E-2</v>
      </c>
      <c r="P41" s="3">
        <f t="shared" si="24"/>
        <v>4.4686867137581743E-2</v>
      </c>
      <c r="Q41" s="3">
        <f t="shared" si="25"/>
        <v>5.2187545665357327E-2</v>
      </c>
      <c r="R41" s="3">
        <f t="shared" si="26"/>
        <v>6.961708841250136E-3</v>
      </c>
      <c r="S41" s="3">
        <f t="shared" si="27"/>
        <v>5.2239340527435729E-2</v>
      </c>
      <c r="T41" s="3">
        <f t="shared" si="28"/>
        <v>2.4141339177991661E-2</v>
      </c>
      <c r="U41" s="3">
        <f t="shared" si="29"/>
        <v>2.580576000928847E-2</v>
      </c>
      <c r="V41" s="3">
        <f t="shared" si="30"/>
        <v>8.9489450548452254E-4</v>
      </c>
      <c r="W41" s="3">
        <f t="shared" si="31"/>
        <v>-1.5109078244464946E-2</v>
      </c>
      <c r="X41" s="3">
        <f t="shared" si="32"/>
        <v>1.3839417376512841E-2</v>
      </c>
      <c r="Z41" s="6" t="s">
        <v>12</v>
      </c>
      <c r="AA41" s="6">
        <v>1</v>
      </c>
      <c r="AB41" s="6">
        <v>2</v>
      </c>
      <c r="AC41" s="6">
        <v>3</v>
      </c>
      <c r="AD41" s="6">
        <v>4</v>
      </c>
      <c r="AE41" s="6">
        <v>5</v>
      </c>
      <c r="AF41" s="6">
        <v>6</v>
      </c>
      <c r="AG41" s="6">
        <v>7</v>
      </c>
      <c r="AH41" s="6">
        <v>8</v>
      </c>
      <c r="AI41" s="6">
        <v>9</v>
      </c>
      <c r="AJ41" s="6">
        <v>10</v>
      </c>
      <c r="AK41" s="3"/>
      <c r="AL41" s="8" t="s">
        <v>16</v>
      </c>
      <c r="AM41" s="3">
        <f>AM39/AM40</f>
        <v>2.6809132779217321E-4</v>
      </c>
      <c r="AN41" s="3">
        <f t="shared" ref="AN41:AV41" si="48">AN39/AN40</f>
        <v>1.5429588903039602E-3</v>
      </c>
      <c r="AO41" s="3">
        <f t="shared" si="48"/>
        <v>3.7995318062598189E-5</v>
      </c>
      <c r="AP41" s="3">
        <f t="shared" si="48"/>
        <v>-7.7982292260321846E-5</v>
      </c>
      <c r="AQ41" s="3">
        <f t="shared" si="48"/>
        <v>8.3292567440020916E-5</v>
      </c>
      <c r="AR41" s="3">
        <f t="shared" si="48"/>
        <v>-8.0053144563690988E-5</v>
      </c>
      <c r="AS41" s="3">
        <f t="shared" si="48"/>
        <v>-3.1900184591557383E-4</v>
      </c>
      <c r="AT41" s="3">
        <f t="shared" si="48"/>
        <v>2.0114088603335272E-3</v>
      </c>
      <c r="AU41" s="3">
        <f t="shared" si="48"/>
        <v>1.1327022544672649E-3</v>
      </c>
      <c r="AV41" s="3">
        <f t="shared" si="48"/>
        <v>1.9337703110338207E-3</v>
      </c>
      <c r="AW41" s="7"/>
      <c r="AX41" s="7"/>
      <c r="AY41" s="5"/>
      <c r="AZ41" s="28">
        <f t="shared" si="13"/>
        <v>44210</v>
      </c>
      <c r="BA41" s="3">
        <f t="shared" si="14"/>
        <v>36</v>
      </c>
      <c r="BB41" s="3">
        <f t="shared" si="8"/>
        <v>1.1037739765725527</v>
      </c>
      <c r="BC41" s="3">
        <f t="shared" si="9"/>
        <v>1.0698068418961071</v>
      </c>
      <c r="BD41" s="3">
        <f t="shared" si="10"/>
        <v>1.2719209329040844</v>
      </c>
      <c r="BE41" s="3">
        <f t="shared" si="11"/>
        <v>0.8905898080922211</v>
      </c>
      <c r="BG41" s="3">
        <f t="shared" si="12"/>
        <v>-9.1762435049748264E-3</v>
      </c>
      <c r="BH41" s="3">
        <f t="shared" si="33"/>
        <v>-7.4926077139556568E-3</v>
      </c>
      <c r="BI41" s="3">
        <f t="shared" si="34"/>
        <v>-1.619468257044035E-2</v>
      </c>
      <c r="BJ41" s="3">
        <f t="shared" si="35"/>
        <v>-2.2598186041730209E-2</v>
      </c>
    </row>
    <row r="42" spans="1:62" x14ac:dyDescent="0.3">
      <c r="A42" s="27">
        <v>44216</v>
      </c>
      <c r="B42" s="3">
        <v>222.47514343261699</v>
      </c>
      <c r="C42" s="3">
        <v>131.22105407714801</v>
      </c>
      <c r="D42" s="3">
        <v>3263.3798828125</v>
      </c>
      <c r="E42" s="3">
        <v>1880.06994628906</v>
      </c>
      <c r="F42" s="3">
        <v>850.45001220703102</v>
      </c>
      <c r="G42" s="3">
        <v>1886.90002441406</v>
      </c>
      <c r="H42" s="3">
        <v>267.48001098632801</v>
      </c>
      <c r="I42" s="3">
        <v>133.54086303710901</v>
      </c>
      <c r="J42" s="3">
        <v>234.759994506835</v>
      </c>
      <c r="K42" s="3">
        <v>133.59436035156199</v>
      </c>
      <c r="L42" s="3">
        <v>3851.85009765625</v>
      </c>
      <c r="N42" s="3">
        <f t="shared" si="2"/>
        <v>2.8044063680949805E-3</v>
      </c>
      <c r="O42" s="3">
        <f t="shared" si="23"/>
        <v>3.6002199337250573E-2</v>
      </c>
      <c r="P42" s="3">
        <f t="shared" si="24"/>
        <v>1.3274974984694765E-2</v>
      </c>
      <c r="Q42" s="3">
        <f t="shared" si="25"/>
        <v>2.1678221541776566E-3</v>
      </c>
      <c r="R42" s="3">
        <f t="shared" si="26"/>
        <v>-6.4408541031832911E-3</v>
      </c>
      <c r="S42" s="3">
        <f t="shared" si="27"/>
        <v>2.3027023701827076E-3</v>
      </c>
      <c r="T42" s="3">
        <f t="shared" si="28"/>
        <v>1.9950635140562056E-2</v>
      </c>
      <c r="U42" s="3">
        <f t="shared" si="29"/>
        <v>3.6852626333462979E-2</v>
      </c>
      <c r="V42" s="3">
        <f t="shared" si="30"/>
        <v>-2.5590342680912315E-3</v>
      </c>
      <c r="W42" s="3">
        <f t="shared" si="31"/>
        <v>-8.4195815928165274E-3</v>
      </c>
      <c r="X42" s="3">
        <f t="shared" si="32"/>
        <v>3.1667316131134271E-4</v>
      </c>
      <c r="Z42" s="6" t="s">
        <v>10</v>
      </c>
      <c r="AA42" s="6">
        <v>4.6608447513825277</v>
      </c>
      <c r="AB42" s="6">
        <v>1.6832657767821888</v>
      </c>
      <c r="AC42" s="6">
        <v>0.95842052424187862</v>
      </c>
      <c r="AD42" s="6">
        <v>2.1644798402232501E-2</v>
      </c>
      <c r="AE42" s="6">
        <v>0.22679548118452963</v>
      </c>
      <c r="AF42" s="6">
        <v>0.30613487932526956</v>
      </c>
      <c r="AG42" s="6">
        <v>0.63281743606138419</v>
      </c>
      <c r="AH42" s="6">
        <v>0.43592969767935252</v>
      </c>
      <c r="AI42" s="6">
        <v>0.51954371022497259</v>
      </c>
      <c r="AJ42" s="6">
        <v>0.5546029447156674</v>
      </c>
      <c r="AK42" s="3"/>
      <c r="AL42" s="8"/>
      <c r="AW42" s="3"/>
      <c r="AY42" s="5"/>
      <c r="AZ42" s="28">
        <f t="shared" si="13"/>
        <v>44211</v>
      </c>
      <c r="BA42" s="3">
        <f t="shared" si="14"/>
        <v>37</v>
      </c>
      <c r="BB42" s="3">
        <f t="shared" si="8"/>
        <v>1.0936918067577281</v>
      </c>
      <c r="BC42" s="3">
        <f t="shared" si="9"/>
        <v>1.0618211530760282</v>
      </c>
      <c r="BD42" s="3">
        <f t="shared" si="10"/>
        <v>1.2514884723103876</v>
      </c>
      <c r="BE42" s="3">
        <f t="shared" si="11"/>
        <v>0.87068979291252491</v>
      </c>
      <c r="BG42" s="3">
        <f t="shared" si="12"/>
        <v>1.6241254586867246E-2</v>
      </c>
      <c r="BH42" s="3">
        <f t="shared" si="33"/>
        <v>1.4721522558015357E-2</v>
      </c>
      <c r="BI42" s="3">
        <f t="shared" si="34"/>
        <v>5.0030928623284732E-3</v>
      </c>
      <c r="BJ42" s="3">
        <f t="shared" si="35"/>
        <v>-4.9513768032136696E-3</v>
      </c>
    </row>
    <row r="43" spans="1:62" x14ac:dyDescent="0.3">
      <c r="A43" s="27">
        <v>44217</v>
      </c>
      <c r="B43" s="3">
        <v>223.09992980957</v>
      </c>
      <c r="C43" s="3">
        <v>136.03137207031199</v>
      </c>
      <c r="D43" s="3">
        <v>3306.98999023437</v>
      </c>
      <c r="E43" s="3">
        <v>1884.15002441406</v>
      </c>
      <c r="F43" s="3">
        <v>844.989990234375</v>
      </c>
      <c r="G43" s="3">
        <v>1891.25</v>
      </c>
      <c r="H43" s="3">
        <v>272.86999511718699</v>
      </c>
      <c r="I43" s="3">
        <v>138.55400085449199</v>
      </c>
      <c r="J43" s="3">
        <v>234.16000366210901</v>
      </c>
      <c r="K43" s="3">
        <v>132.47427368164</v>
      </c>
      <c r="L43" s="3">
        <v>3853.07006835937</v>
      </c>
      <c r="N43" s="3">
        <f t="shared" si="2"/>
        <v>4.3465120773724664E-3</v>
      </c>
      <c r="O43" s="3">
        <f t="shared" si="23"/>
        <v>1.594607754818167E-2</v>
      </c>
      <c r="P43" s="3">
        <f t="shared" si="24"/>
        <v>-4.473266368933082E-3</v>
      </c>
      <c r="Q43" s="3">
        <f t="shared" si="25"/>
        <v>4.4536371052297241E-3</v>
      </c>
      <c r="R43" s="3">
        <f t="shared" si="26"/>
        <v>1.9508106767860411E-3</v>
      </c>
      <c r="S43" s="3">
        <f t="shared" si="27"/>
        <v>5.1684046711333309E-3</v>
      </c>
      <c r="T43" s="3">
        <f t="shared" si="28"/>
        <v>5.9557875497899815E-3</v>
      </c>
      <c r="U43" s="3">
        <f t="shared" si="29"/>
        <v>-1.1240240127188272E-2</v>
      </c>
      <c r="V43" s="3">
        <f t="shared" si="30"/>
        <v>-5.3096189153603035E-3</v>
      </c>
      <c r="W43" s="3">
        <f t="shared" si="31"/>
        <v>-7.743365004661662E-3</v>
      </c>
      <c r="X43" s="3">
        <f t="shared" si="32"/>
        <v>-3.0151526629378367E-3</v>
      </c>
      <c r="Z43" s="6" t="s">
        <v>33</v>
      </c>
      <c r="AA43" s="3">
        <v>-0.38538079035452777</v>
      </c>
      <c r="AB43" s="3">
        <v>-9.7418718557065853E-2</v>
      </c>
      <c r="AC43" s="3">
        <v>7.7517506607752987E-2</v>
      </c>
      <c r="AD43" s="3">
        <v>-1.5374068278236697E-2</v>
      </c>
      <c r="AE43" s="3">
        <v>0.5737541802267786</v>
      </c>
      <c r="AF43" s="3">
        <v>-0.46923674212737609</v>
      </c>
      <c r="AG43" s="3">
        <v>-0.13701000672298594</v>
      </c>
      <c r="AH43" s="3">
        <v>-0.32674799186500342</v>
      </c>
      <c r="AI43" s="3">
        <v>0.32242681807036699</v>
      </c>
      <c r="AJ43" s="3">
        <v>0.23848247160592098</v>
      </c>
      <c r="AK43" s="3"/>
      <c r="AL43" s="8"/>
      <c r="AW43" s="3"/>
      <c r="AY43" s="5"/>
      <c r="AZ43" s="28">
        <f t="shared" si="13"/>
        <v>44215</v>
      </c>
      <c r="BA43" s="3">
        <f t="shared" si="14"/>
        <v>38</v>
      </c>
      <c r="BB43" s="3">
        <f t="shared" si="8"/>
        <v>1.1115997640349307</v>
      </c>
      <c r="BC43" s="3">
        <f t="shared" si="9"/>
        <v>1.0775684044935323</v>
      </c>
      <c r="BD43" s="3">
        <f t="shared" si="10"/>
        <v>1.2577654744725817</v>
      </c>
      <c r="BE43" s="3">
        <f t="shared" si="11"/>
        <v>0.86638933504863735</v>
      </c>
      <c r="BG43" s="3">
        <f t="shared" si="12"/>
        <v>2.4350228864930074E-2</v>
      </c>
      <c r="BH43" s="3">
        <f t="shared" si="33"/>
        <v>2.4428899611150925E-2</v>
      </c>
      <c r="BI43" s="3">
        <f t="shared" si="34"/>
        <v>1.0472965501957282E-2</v>
      </c>
      <c r="BJ43" s="3">
        <f t="shared" si="35"/>
        <v>4.852660688956234E-4</v>
      </c>
    </row>
    <row r="44" spans="1:62" x14ac:dyDescent="0.3">
      <c r="A44" s="27">
        <v>44218</v>
      </c>
      <c r="B44" s="3">
        <v>224.07174682617099</v>
      </c>
      <c r="C44" s="3">
        <v>138.21792602539</v>
      </c>
      <c r="D44" s="3">
        <v>3292.22998046875</v>
      </c>
      <c r="E44" s="3">
        <v>1892.56005859375</v>
      </c>
      <c r="F44" s="3">
        <v>846.64001464843705</v>
      </c>
      <c r="G44" s="3">
        <v>1901.05004882812</v>
      </c>
      <c r="H44" s="3">
        <v>274.5</v>
      </c>
      <c r="I44" s="3">
        <v>137.00534057617099</v>
      </c>
      <c r="J44" s="3">
        <v>232.919998168945</v>
      </c>
      <c r="K44" s="3">
        <v>131.45243835449199</v>
      </c>
      <c r="L44" s="3">
        <v>3841.46997070312</v>
      </c>
      <c r="N44" s="3">
        <f t="shared" si="2"/>
        <v>1.5720033209677631E-2</v>
      </c>
      <c r="O44" s="3">
        <f t="shared" si="23"/>
        <v>2.7307555657562155E-2</v>
      </c>
      <c r="P44" s="3">
        <f t="shared" si="24"/>
        <v>5.3749097104471844E-4</v>
      </c>
      <c r="Q44" s="3">
        <f t="shared" si="25"/>
        <v>9.0839369050410568E-4</v>
      </c>
      <c r="R44" s="3">
        <f t="shared" si="26"/>
        <v>3.9554979462123718E-2</v>
      </c>
      <c r="S44" s="3">
        <f t="shared" si="27"/>
        <v>-8.6833111128292728E-4</v>
      </c>
      <c r="T44" s="3">
        <f t="shared" si="28"/>
        <v>1.2705858444007845E-2</v>
      </c>
      <c r="U44" s="3">
        <f t="shared" si="29"/>
        <v>-4.3303270393373339E-3</v>
      </c>
      <c r="V44" s="3">
        <f t="shared" si="30"/>
        <v>3.863084172470721E-4</v>
      </c>
      <c r="W44" s="3">
        <f t="shared" si="31"/>
        <v>-1.2560816664082708E-2</v>
      </c>
      <c r="X44" s="3">
        <f t="shared" si="32"/>
        <v>3.6093175130176292E-3</v>
      </c>
      <c r="Z44" s="6" t="s">
        <v>34</v>
      </c>
      <c r="AA44" s="3">
        <v>-0.35474262634983084</v>
      </c>
      <c r="AB44" s="3">
        <v>-7.3820046252953408E-2</v>
      </c>
      <c r="AC44" s="3">
        <v>-0.13920107739773982</v>
      </c>
      <c r="AD44" s="3">
        <v>-2.9523964790479861E-3</v>
      </c>
      <c r="AE44" s="3">
        <v>-0.11577339418427293</v>
      </c>
      <c r="AF44" s="3">
        <v>0.54179276782368413</v>
      </c>
      <c r="AG44" s="3">
        <v>-0.3042287900415957</v>
      </c>
      <c r="AH44" s="3">
        <v>-0.23456021606079366</v>
      </c>
      <c r="AI44" s="3">
        <v>0.49796550444586879</v>
      </c>
      <c r="AJ44" s="3">
        <v>-0.38319242671834158</v>
      </c>
      <c r="AK44" s="3"/>
      <c r="AL44" s="8"/>
      <c r="AW44" s="3"/>
      <c r="AY44" s="5"/>
      <c r="AZ44" s="28">
        <f t="shared" si="13"/>
        <v>44216</v>
      </c>
      <c r="BA44" s="3">
        <f t="shared" si="14"/>
        <v>39</v>
      </c>
      <c r="BB44" s="3">
        <f t="shared" si="8"/>
        <v>1.1389997164014649</v>
      </c>
      <c r="BC44" s="3">
        <f t="shared" si="9"/>
        <v>1.1042163800151097</v>
      </c>
      <c r="BD44" s="3">
        <f t="shared" si="10"/>
        <v>1.2710072280779088</v>
      </c>
      <c r="BE44" s="3">
        <f t="shared" si="11"/>
        <v>0.86680986642194036</v>
      </c>
      <c r="BG44" s="3">
        <f t="shared" si="12"/>
        <v>8.5390570222719231E-3</v>
      </c>
      <c r="BH44" s="3">
        <f t="shared" si="33"/>
        <v>7.5381479784041028E-3</v>
      </c>
      <c r="BI44" s="3">
        <f t="shared" si="34"/>
        <v>1.0732639645403746E-2</v>
      </c>
      <c r="BJ44" s="3">
        <f t="shared" si="35"/>
        <v>1.5617736426688594E-2</v>
      </c>
    </row>
    <row r="45" spans="1:62" x14ac:dyDescent="0.3">
      <c r="A45" s="27">
        <v>44221</v>
      </c>
      <c r="B45" s="3">
        <v>227.62199401855401</v>
      </c>
      <c r="C45" s="3">
        <v>142.04432678222599</v>
      </c>
      <c r="D45" s="3">
        <v>3294</v>
      </c>
      <c r="E45" s="3">
        <v>1894.28002929687</v>
      </c>
      <c r="F45" s="3">
        <v>880.79998779296795</v>
      </c>
      <c r="G45" s="3">
        <v>1899.40002441406</v>
      </c>
      <c r="H45" s="3">
        <v>278.010009765625</v>
      </c>
      <c r="I45" s="3">
        <v>136.41334533691401</v>
      </c>
      <c r="J45" s="3">
        <v>233.009994506835</v>
      </c>
      <c r="K45" s="3">
        <v>129.81161499023401</v>
      </c>
      <c r="L45" s="3">
        <v>3855.36010742187</v>
      </c>
      <c r="N45" s="3">
        <f t="shared" si="2"/>
        <v>1.2125073331453962E-2</v>
      </c>
      <c r="O45" s="3">
        <f t="shared" si="23"/>
        <v>1.6779309910210927E-3</v>
      </c>
      <c r="P45" s="3">
        <f t="shared" si="24"/>
        <v>9.7067990082386757E-3</v>
      </c>
      <c r="Q45" s="3">
        <f t="shared" si="25"/>
        <v>7.1905070674906924E-3</v>
      </c>
      <c r="R45" s="3">
        <f t="shared" si="26"/>
        <v>2.5965795260995961E-3</v>
      </c>
      <c r="S45" s="3">
        <f t="shared" si="27"/>
        <v>9.3485870714768993E-3</v>
      </c>
      <c r="T45" s="3">
        <f t="shared" si="28"/>
        <v>1.4427197512717704E-2</v>
      </c>
      <c r="U45" s="3">
        <f t="shared" si="29"/>
        <v>-1.6095648061311252E-2</v>
      </c>
      <c r="V45" s="3">
        <f t="shared" si="30"/>
        <v>-6.1991122664633025E-3</v>
      </c>
      <c r="W45" s="3">
        <f t="shared" si="31"/>
        <v>-4.0955547142349502E-3</v>
      </c>
      <c r="X45" s="3">
        <f t="shared" si="32"/>
        <v>-1.4899431611521408E-3</v>
      </c>
      <c r="Z45" s="6" t="s">
        <v>35</v>
      </c>
      <c r="AA45" s="3">
        <v>-0.34685955686831221</v>
      </c>
      <c r="AB45" s="3">
        <v>-0.16950880518835493</v>
      </c>
      <c r="AC45" s="3">
        <v>2.4132571758131993E-2</v>
      </c>
      <c r="AD45" s="3">
        <v>1.1242192168093471E-2</v>
      </c>
      <c r="AE45" s="3">
        <v>8.7900011387250961E-3</v>
      </c>
      <c r="AF45" s="3">
        <v>-0.24718342630408494</v>
      </c>
      <c r="AG45" s="3">
        <v>-0.3247853129341457</v>
      </c>
      <c r="AH45" s="3">
        <v>0.79110962321171152</v>
      </c>
      <c r="AI45" s="3">
        <v>-5.0646739629977809E-3</v>
      </c>
      <c r="AJ45" s="3">
        <v>-0.24021646103176258</v>
      </c>
      <c r="AK45" s="3"/>
      <c r="AL45" s="8"/>
      <c r="AW45" s="3"/>
      <c r="AY45" s="5"/>
      <c r="AZ45" s="28">
        <f t="shared" si="13"/>
        <v>44217</v>
      </c>
      <c r="BA45" s="3">
        <f t="shared" si="14"/>
        <v>40</v>
      </c>
      <c r="BB45" s="3">
        <f t="shared" si="8"/>
        <v>1.1487673437407033</v>
      </c>
      <c r="BC45" s="3">
        <f t="shared" si="9"/>
        <v>1.1125715782839258</v>
      </c>
      <c r="BD45" s="3">
        <f t="shared" si="10"/>
        <v>1.2847219566139763</v>
      </c>
      <c r="BE45" s="3">
        <f t="shared" si="11"/>
        <v>0.88045374033490065</v>
      </c>
      <c r="BG45" s="3">
        <f t="shared" si="12"/>
        <v>1.050604116255377E-3</v>
      </c>
      <c r="BH45" s="3">
        <f t="shared" si="33"/>
        <v>9.4615668045615331E-4</v>
      </c>
      <c r="BI45" s="3">
        <f t="shared" si="34"/>
        <v>-2.6558780906923984E-3</v>
      </c>
      <c r="BJ45" s="3">
        <f t="shared" si="35"/>
        <v>-5.9749152374873327E-3</v>
      </c>
    </row>
    <row r="46" spans="1:62" x14ac:dyDescent="0.3">
      <c r="A46" s="27">
        <v>44222</v>
      </c>
      <c r="B46" s="3">
        <v>230.39872741699199</v>
      </c>
      <c r="C46" s="3">
        <v>142.28286743164</v>
      </c>
      <c r="D46" s="3">
        <v>3326.1298828125</v>
      </c>
      <c r="E46" s="3">
        <v>1907.94995117187</v>
      </c>
      <c r="F46" s="3">
        <v>883.09002685546795</v>
      </c>
      <c r="G46" s="3">
        <v>1917.23999023437</v>
      </c>
      <c r="H46" s="3">
        <v>282.04998779296801</v>
      </c>
      <c r="I46" s="3">
        <v>134.235260009765</v>
      </c>
      <c r="J46" s="3">
        <v>231.57000732421801</v>
      </c>
      <c r="K46" s="3">
        <v>129.28105163574199</v>
      </c>
      <c r="L46" s="3">
        <v>3849.6201171875</v>
      </c>
      <c r="N46" s="3">
        <f t="shared" si="2"/>
        <v>2.4504022680265081E-3</v>
      </c>
      <c r="O46" s="3">
        <f t="shared" si="23"/>
        <v>-7.7134999734704834E-3</v>
      </c>
      <c r="P46" s="3">
        <f t="shared" si="24"/>
        <v>-2.8528826591493583E-2</v>
      </c>
      <c r="Q46" s="3">
        <f t="shared" si="25"/>
        <v>-4.7775460017904336E-2</v>
      </c>
      <c r="R46" s="3">
        <f t="shared" si="26"/>
        <v>-2.1669245307924356E-2</v>
      </c>
      <c r="S46" s="3">
        <f t="shared" si="27"/>
        <v>-4.6139057725979704E-2</v>
      </c>
      <c r="T46" s="3">
        <f t="shared" si="28"/>
        <v>-3.5767623316757202E-2</v>
      </c>
      <c r="U46" s="3">
        <f t="shared" si="29"/>
        <v>-3.9279415091567849E-2</v>
      </c>
      <c r="V46" s="3">
        <f t="shared" si="30"/>
        <v>-1.834756822509398E-2</v>
      </c>
      <c r="W46" s="3">
        <f t="shared" si="31"/>
        <v>-2.8679069573302129E-2</v>
      </c>
      <c r="X46" s="3">
        <f t="shared" si="32"/>
        <v>-2.6013315126100167E-2</v>
      </c>
      <c r="Z46" s="6" t="s">
        <v>36</v>
      </c>
      <c r="AA46" s="3">
        <v>-0.40575196470633157</v>
      </c>
      <c r="AB46" s="3">
        <v>5.7416745067922249E-2</v>
      </c>
      <c r="AC46" s="3">
        <v>0.34324832433735836</v>
      </c>
      <c r="AD46" s="3">
        <v>0.71528755678710454</v>
      </c>
      <c r="AE46" s="3">
        <v>-0.15943130031639458</v>
      </c>
      <c r="AF46" s="3">
        <v>0.16524551993112069</v>
      </c>
      <c r="AG46" s="3">
        <v>0.28415278770346641</v>
      </c>
      <c r="AH46" s="3">
        <v>6.1470014407381937E-2</v>
      </c>
      <c r="AI46" s="3">
        <v>2.0885783985709169E-3</v>
      </c>
      <c r="AJ46" s="3">
        <v>0.25566150766077939</v>
      </c>
      <c r="AK46" s="3"/>
      <c r="AL46" s="8"/>
      <c r="AW46" s="3"/>
      <c r="AY46" s="5"/>
      <c r="AZ46" s="28">
        <f t="shared" si="13"/>
        <v>44218</v>
      </c>
      <c r="BA46" s="3">
        <f t="shared" si="14"/>
        <v>41</v>
      </c>
      <c r="BB46" s="3">
        <f t="shared" si="8"/>
        <v>1.1499748776496348</v>
      </c>
      <c r="BC46" s="3">
        <f t="shared" si="9"/>
        <v>1.113624743466274</v>
      </c>
      <c r="BD46" s="3">
        <f t="shared" si="10"/>
        <v>1.2813144187223642</v>
      </c>
      <c r="BE46" s="3">
        <f t="shared" si="11"/>
        <v>0.87520878854062145</v>
      </c>
      <c r="BG46" s="3">
        <f t="shared" si="12"/>
        <v>9.8999243239903112E-3</v>
      </c>
      <c r="BH46" s="3">
        <f t="shared" si="33"/>
        <v>6.9576295145218486E-3</v>
      </c>
      <c r="BI46" s="3">
        <f t="shared" si="34"/>
        <v>6.9632774648582529E-3</v>
      </c>
      <c r="BJ46" s="3">
        <f t="shared" si="35"/>
        <v>4.9974686418303438E-3</v>
      </c>
    </row>
    <row r="47" spans="1:62" x14ac:dyDescent="0.3">
      <c r="A47" s="27">
        <v>44223</v>
      </c>
      <c r="B47" s="3">
        <v>230.96398925781199</v>
      </c>
      <c r="C47" s="3">
        <v>141.18959045410099</v>
      </c>
      <c r="D47" s="3">
        <v>3232.580078125</v>
      </c>
      <c r="E47" s="3">
        <v>1818.93994140625</v>
      </c>
      <c r="F47" s="3">
        <v>864.15997314453102</v>
      </c>
      <c r="G47" s="3">
        <v>1830.7900390625</v>
      </c>
      <c r="H47" s="3">
        <v>272.14001464843699</v>
      </c>
      <c r="I47" s="3">
        <v>129.06478881835901</v>
      </c>
      <c r="J47" s="3">
        <v>227.36000061035099</v>
      </c>
      <c r="K47" s="3">
        <v>125.626052856445</v>
      </c>
      <c r="L47" s="3">
        <v>3750.77001953125</v>
      </c>
      <c r="N47" s="3">
        <f t="shared" si="2"/>
        <v>2.5561440029959748E-2</v>
      </c>
      <c r="O47" s="3">
        <f t="shared" si="23"/>
        <v>-3.5611830828456981E-2</v>
      </c>
      <c r="P47" s="3">
        <f t="shared" si="24"/>
        <v>1.5579239991847516E-3</v>
      </c>
      <c r="Q47" s="3">
        <f t="shared" si="25"/>
        <v>1.8659966590194088E-2</v>
      </c>
      <c r="R47" s="3">
        <f t="shared" si="26"/>
        <v>-3.3811352175462162E-2</v>
      </c>
      <c r="S47" s="3">
        <f t="shared" si="27"/>
        <v>1.7499537540053289E-2</v>
      </c>
      <c r="T47" s="3">
        <f t="shared" si="28"/>
        <v>-2.6586867603331399E-2</v>
      </c>
      <c r="U47" s="3">
        <f t="shared" si="29"/>
        <v>1.02623631850145E-2</v>
      </c>
      <c r="V47" s="3">
        <f t="shared" si="30"/>
        <v>1.5666556629375883E-2</v>
      </c>
      <c r="W47" s="3">
        <f t="shared" si="31"/>
        <v>1.7444310284331799E-2</v>
      </c>
      <c r="X47" s="3">
        <f t="shared" si="32"/>
        <v>9.7132987787595937E-3</v>
      </c>
      <c r="Z47" s="6" t="s">
        <v>37</v>
      </c>
      <c r="AA47" s="3">
        <v>-0.20724003724728751</v>
      </c>
      <c r="AB47" s="3">
        <v>-0.10418044959252988</v>
      </c>
      <c r="AC47" s="3">
        <v>-0.77423684453374808</v>
      </c>
      <c r="AD47" s="3">
        <v>1.4815654590011105E-2</v>
      </c>
      <c r="AE47" s="3">
        <v>-6.9404922848150433E-2</v>
      </c>
      <c r="AF47" s="3">
        <v>-9.9592145076864091E-2</v>
      </c>
      <c r="AG47" s="3">
        <v>0.52765760664285144</v>
      </c>
      <c r="AH47" s="3">
        <v>0.12653229033925426</v>
      </c>
      <c r="AI47" s="3">
        <v>0.16814966581334556</v>
      </c>
      <c r="AJ47" s="3">
        <v>9.5356628996978138E-2</v>
      </c>
      <c r="AK47" s="3"/>
      <c r="AL47" s="8"/>
      <c r="AW47" s="3"/>
      <c r="AY47" s="5"/>
      <c r="AZ47" s="28">
        <f t="shared" si="13"/>
        <v>44221</v>
      </c>
      <c r="BA47" s="3">
        <f t="shared" si="14"/>
        <v>42</v>
      </c>
      <c r="BB47" s="3">
        <f t="shared" si="8"/>
        <v>1.1614160819970081</v>
      </c>
      <c r="BC47" s="3">
        <f t="shared" si="9"/>
        <v>1.1213999489836635</v>
      </c>
      <c r="BD47" s="3">
        <f t="shared" si="10"/>
        <v>1.2902677024624698</v>
      </c>
      <c r="BE47" s="3">
        <f t="shared" si="11"/>
        <v>0.87959356428033941</v>
      </c>
      <c r="BG47" s="3">
        <f t="shared" si="12"/>
        <v>3.0723719402401817E-3</v>
      </c>
      <c r="BH47" s="3">
        <f t="shared" si="33"/>
        <v>3.307947505874681E-3</v>
      </c>
      <c r="BI47" s="3">
        <f t="shared" si="34"/>
        <v>-3.5009560202154955E-3</v>
      </c>
      <c r="BJ47" s="3">
        <f t="shared" si="35"/>
        <v>-9.4775328485645904E-3</v>
      </c>
    </row>
    <row r="48" spans="1:62" x14ac:dyDescent="0.3">
      <c r="A48" s="27">
        <v>44224</v>
      </c>
      <c r="B48" s="3">
        <v>236.94386291503901</v>
      </c>
      <c r="C48" s="3">
        <v>136.25004577636699</v>
      </c>
      <c r="D48" s="3">
        <v>3237.6201171875</v>
      </c>
      <c r="E48" s="3">
        <v>1853.19995117187</v>
      </c>
      <c r="F48" s="3">
        <v>835.42999267578102</v>
      </c>
      <c r="G48" s="3">
        <v>1863.10998535156</v>
      </c>
      <c r="H48" s="3">
        <v>265</v>
      </c>
      <c r="I48" s="3">
        <v>130.39611816406199</v>
      </c>
      <c r="J48" s="3">
        <v>230.94999694824199</v>
      </c>
      <c r="K48" s="3">
        <v>127.836738586425</v>
      </c>
      <c r="L48" s="3">
        <v>3787.3798828125</v>
      </c>
      <c r="N48" s="3">
        <f t="shared" si="2"/>
        <v>-2.9605690476848245E-2</v>
      </c>
      <c r="O48" s="3">
        <f t="shared" si="23"/>
        <v>-3.8138707890318813E-2</v>
      </c>
      <c r="P48" s="3">
        <f t="shared" si="24"/>
        <v>-9.7521081272251564E-3</v>
      </c>
      <c r="Q48" s="3">
        <f t="shared" si="25"/>
        <v>-1.4041553908364257E-2</v>
      </c>
      <c r="R48" s="3">
        <f t="shared" si="26"/>
        <v>-5.1455170237318271E-2</v>
      </c>
      <c r="S48" s="3">
        <f t="shared" si="27"/>
        <v>-1.4799461915644407E-2</v>
      </c>
      <c r="T48" s="3">
        <f t="shared" si="28"/>
        <v>-2.5492040589039533E-2</v>
      </c>
      <c r="U48" s="3">
        <f t="shared" si="29"/>
        <v>-4.7042008908579902E-3</v>
      </c>
      <c r="V48" s="3">
        <f t="shared" si="30"/>
        <v>-1.3425954186730316E-2</v>
      </c>
      <c r="W48" s="3">
        <f t="shared" si="31"/>
        <v>-1.1129260515161832E-2</v>
      </c>
      <c r="X48" s="3">
        <f t="shared" si="32"/>
        <v>-1.950037765479351E-2</v>
      </c>
      <c r="Z48" s="6" t="s">
        <v>38</v>
      </c>
      <c r="AA48" s="3">
        <v>-0.40228713650284614</v>
      </c>
      <c r="AB48" s="3">
        <v>6.9776125948091211E-2</v>
      </c>
      <c r="AC48" s="3">
        <v>0.3430941733919094</v>
      </c>
      <c r="AD48" s="3">
        <v>-0.69732328950893063</v>
      </c>
      <c r="AE48" s="3">
        <v>-0.20555234523767618</v>
      </c>
      <c r="AF48" s="3">
        <v>0.14652717212191851</v>
      </c>
      <c r="AG48" s="3">
        <v>0.30192633003262564</v>
      </c>
      <c r="AH48" s="3">
        <v>8.8061917488133926E-2</v>
      </c>
      <c r="AI48" s="3">
        <v>3.1496715860379082E-2</v>
      </c>
      <c r="AJ48" s="3">
        <v>0.2563094577919075</v>
      </c>
      <c r="AK48" s="3"/>
      <c r="AL48" s="8"/>
      <c r="AW48" s="3"/>
      <c r="AY48" s="5"/>
      <c r="AZ48" s="28">
        <f t="shared" si="13"/>
        <v>44222</v>
      </c>
      <c r="BA48" s="3">
        <f t="shared" si="14"/>
        <v>43</v>
      </c>
      <c r="BB48" s="3">
        <f t="shared" si="8"/>
        <v>1.1649898713721552</v>
      </c>
      <c r="BC48" s="3">
        <f t="shared" si="9"/>
        <v>1.1251156233876956</v>
      </c>
      <c r="BD48" s="3">
        <f t="shared" si="10"/>
        <v>1.2857584299699139</v>
      </c>
      <c r="BE48" s="3">
        <f t="shared" si="11"/>
        <v>0.87129656701897162</v>
      </c>
      <c r="BG48" s="3">
        <f t="shared" si="12"/>
        <v>-2.6435921433577841E-2</v>
      </c>
      <c r="BH48" s="3">
        <f t="shared" si="33"/>
        <v>-2.5351675727548803E-2</v>
      </c>
      <c r="BI48" s="3">
        <f t="shared" si="34"/>
        <v>-2.0172456394172755E-2</v>
      </c>
      <c r="BJ48" s="3">
        <f t="shared" si="35"/>
        <v>-1.3728632681686198E-2</v>
      </c>
    </row>
    <row r="49" spans="1:62" x14ac:dyDescent="0.3">
      <c r="A49" s="27">
        <v>44225</v>
      </c>
      <c r="B49" s="3">
        <v>230.03179931640599</v>
      </c>
      <c r="C49" s="3">
        <v>131.15148925781199</v>
      </c>
      <c r="D49" s="3">
        <v>3206.19995117187</v>
      </c>
      <c r="E49" s="3">
        <v>1827.35998535156</v>
      </c>
      <c r="F49" s="3">
        <v>793.530029296875</v>
      </c>
      <c r="G49" s="3">
        <v>1835.73999023437</v>
      </c>
      <c r="H49" s="3">
        <v>258.329986572265</v>
      </c>
      <c r="I49" s="3">
        <v>129.78414916992099</v>
      </c>
      <c r="J49" s="3">
        <v>227.86999511718699</v>
      </c>
      <c r="K49" s="3">
        <v>126.421897888183</v>
      </c>
      <c r="L49" s="3">
        <v>3714.23999023437</v>
      </c>
      <c r="N49" s="3">
        <f t="shared" si="2"/>
        <v>3.2614550367647155E-2</v>
      </c>
      <c r="O49" s="3">
        <f t="shared" si="23"/>
        <v>1.6385054557391143E-2</v>
      </c>
      <c r="P49" s="3">
        <f t="shared" si="24"/>
        <v>4.1746255791800024E-2</v>
      </c>
      <c r="Q49" s="3">
        <f t="shared" si="25"/>
        <v>3.5327527208377063E-2</v>
      </c>
      <c r="R49" s="3">
        <f t="shared" si="26"/>
        <v>5.6684289514314479E-2</v>
      </c>
      <c r="S49" s="3">
        <f t="shared" si="27"/>
        <v>3.5116482693294593E-2</v>
      </c>
      <c r="T49" s="3">
        <f t="shared" si="28"/>
        <v>1.4144922846423214E-2</v>
      </c>
      <c r="U49" s="3">
        <f t="shared" si="29"/>
        <v>1.8855427299405925E-2</v>
      </c>
      <c r="V49" s="3">
        <f t="shared" si="30"/>
        <v>6.3431705030856378E-3</v>
      </c>
      <c r="W49" s="3">
        <f t="shared" si="31"/>
        <v>7.3560558411136512E-3</v>
      </c>
      <c r="X49" s="3">
        <f t="shared" si="32"/>
        <v>1.5924300234679833E-2</v>
      </c>
      <c r="Z49" s="6" t="s">
        <v>39</v>
      </c>
      <c r="AA49" s="3">
        <v>-0.33602784937080621</v>
      </c>
      <c r="AB49" s="3">
        <v>-4.3927031152229831E-2</v>
      </c>
      <c r="AC49" s="3">
        <v>5.7531390850595991E-2</v>
      </c>
      <c r="AD49" s="3">
        <v>-1.7021376637346059E-2</v>
      </c>
      <c r="AE49" s="3">
        <v>0.14099653949319974</v>
      </c>
      <c r="AF49" s="3">
        <v>-0.11271445840983838</v>
      </c>
      <c r="AG49" s="3">
        <v>0.29053312019921385</v>
      </c>
      <c r="AH49" s="3">
        <v>-0.2749052407050373</v>
      </c>
      <c r="AI49" s="3">
        <v>-0.52268469101872894</v>
      </c>
      <c r="AJ49" s="3">
        <v>-0.64481770088664325</v>
      </c>
      <c r="AK49" s="3"/>
      <c r="AL49" s="8"/>
      <c r="AW49" s="3"/>
      <c r="AY49" s="5"/>
      <c r="AZ49" s="28">
        <f t="shared" si="13"/>
        <v>44223</v>
      </c>
      <c r="BA49" s="3">
        <f t="shared" si="14"/>
        <v>44</v>
      </c>
      <c r="BB49" s="3">
        <f t="shared" si="8"/>
        <v>1.1345958082675363</v>
      </c>
      <c r="BC49" s="3">
        <f t="shared" si="9"/>
        <v>1.0969505809332389</v>
      </c>
      <c r="BD49" s="3">
        <f t="shared" si="10"/>
        <v>1.260081379419179</v>
      </c>
      <c r="BE49" s="3">
        <f t="shared" si="11"/>
        <v>0.85941659099673129</v>
      </c>
      <c r="BG49" s="3">
        <f t="shared" si="12"/>
        <v>-1.1606430704722004E-3</v>
      </c>
      <c r="BH49" s="3">
        <f t="shared" si="33"/>
        <v>3.7121682521067262E-3</v>
      </c>
      <c r="BI49" s="3">
        <f t="shared" si="34"/>
        <v>7.8019976385845791E-6</v>
      </c>
      <c r="BJ49" s="3">
        <f t="shared" si="35"/>
        <v>-2.1175280740143299E-4</v>
      </c>
    </row>
    <row r="50" spans="1:62" x14ac:dyDescent="0.3">
      <c r="A50" s="27">
        <v>44228</v>
      </c>
      <c r="B50" s="3">
        <v>237.65786743164</v>
      </c>
      <c r="C50" s="3">
        <v>133.318115234375</v>
      </c>
      <c r="D50" s="3">
        <v>3342.8798828125</v>
      </c>
      <c r="E50" s="3">
        <v>1893.06994628906</v>
      </c>
      <c r="F50" s="3">
        <v>839.80999755859295</v>
      </c>
      <c r="G50" s="3">
        <v>1901.34997558593</v>
      </c>
      <c r="H50" s="3">
        <v>262.010009765625</v>
      </c>
      <c r="I50" s="3">
        <v>132.25450134277301</v>
      </c>
      <c r="J50" s="3">
        <v>229.32000732421801</v>
      </c>
      <c r="K50" s="3">
        <v>127.355293273925</v>
      </c>
      <c r="L50" s="3">
        <v>3773.86010742187</v>
      </c>
      <c r="N50" s="3">
        <f t="shared" si="2"/>
        <v>-5.8430645008744619E-4</v>
      </c>
      <c r="O50" s="3">
        <f t="shared" si="23"/>
        <v>6.3167519207310008E-3</v>
      </c>
      <c r="P50" s="3">
        <f t="shared" si="24"/>
        <v>1.1043033658975077E-2</v>
      </c>
      <c r="Q50" s="3">
        <f t="shared" si="25"/>
        <v>1.3666923582867696E-2</v>
      </c>
      <c r="R50" s="3">
        <f t="shared" si="26"/>
        <v>3.851927903032859E-2</v>
      </c>
      <c r="S50" s="3">
        <f t="shared" si="27"/>
        <v>1.3664872232298286E-2</v>
      </c>
      <c r="T50" s="3">
        <f t="shared" si="28"/>
        <v>1.9165480469983009E-2</v>
      </c>
      <c r="U50" s="3">
        <f t="shared" si="29"/>
        <v>2.3868581272750156E-2</v>
      </c>
      <c r="V50" s="3">
        <f t="shared" si="30"/>
        <v>1.265290339030134E-2</v>
      </c>
      <c r="W50" s="3">
        <f t="shared" si="31"/>
        <v>3.0318080861118091E-2</v>
      </c>
      <c r="X50" s="3">
        <f t="shared" si="32"/>
        <v>1.3802528814311543E-2</v>
      </c>
      <c r="Z50" s="6" t="s">
        <v>40</v>
      </c>
      <c r="AA50" s="3">
        <v>-0.30640725517281342</v>
      </c>
      <c r="AB50" s="3">
        <v>-0.1608126650960659</v>
      </c>
      <c r="AC50" s="3">
        <v>-0.31829632893325011</v>
      </c>
      <c r="AD50" s="3">
        <v>-2.0171068076979375E-2</v>
      </c>
      <c r="AE50" s="3">
        <v>-0.14183534850764304</v>
      </c>
      <c r="AF50" s="3">
        <v>0.14171591720531435</v>
      </c>
      <c r="AG50" s="3">
        <v>-0.46176627420519228</v>
      </c>
      <c r="AH50" s="3">
        <v>-0.18021598627319219</v>
      </c>
      <c r="AI50" s="3">
        <v>-0.5662333945895901</v>
      </c>
      <c r="AJ50" s="3">
        <v>0.41473803490464994</v>
      </c>
      <c r="AK50" s="3"/>
      <c r="AL50" s="8"/>
      <c r="AW50" s="3"/>
      <c r="AY50" s="5"/>
      <c r="AZ50" s="28">
        <f t="shared" si="13"/>
        <v>44224</v>
      </c>
      <c r="BA50" s="3">
        <f t="shared" si="14"/>
        <v>45</v>
      </c>
      <c r="BB50" s="3">
        <f t="shared" si="8"/>
        <v>1.1332797114119735</v>
      </c>
      <c r="BC50" s="3">
        <f t="shared" si="9"/>
        <v>1.1010302135103331</v>
      </c>
      <c r="BD50" s="3">
        <f t="shared" si="10"/>
        <v>1.260091210609477</v>
      </c>
      <c r="BE50" s="3">
        <f t="shared" si="11"/>
        <v>0.85923462638729875</v>
      </c>
      <c r="BG50" s="3">
        <f t="shared" si="12"/>
        <v>-2.3100700764463064E-2</v>
      </c>
      <c r="BH50" s="3">
        <f t="shared" si="33"/>
        <v>-2.0642126763316157E-2</v>
      </c>
      <c r="BI50" s="3">
        <f t="shared" si="34"/>
        <v>-2.0551841268523774E-2</v>
      </c>
      <c r="BJ50" s="3">
        <f t="shared" si="35"/>
        <v>-1.8234182099325091E-2</v>
      </c>
    </row>
    <row r="51" spans="1:62" x14ac:dyDescent="0.3">
      <c r="A51" s="27">
        <v>44229</v>
      </c>
      <c r="B51" s="3">
        <v>237.51904296875</v>
      </c>
      <c r="C51" s="3">
        <v>134.16291809082</v>
      </c>
      <c r="D51" s="3">
        <v>3380</v>
      </c>
      <c r="E51" s="3">
        <v>1919.11999511718</v>
      </c>
      <c r="F51" s="3">
        <v>872.78997802734295</v>
      </c>
      <c r="G51" s="3">
        <v>1927.51000976562</v>
      </c>
      <c r="H51" s="3">
        <v>267.079986572265</v>
      </c>
      <c r="I51" s="3">
        <v>135.44920349121</v>
      </c>
      <c r="J51" s="3">
        <v>232.24000549316401</v>
      </c>
      <c r="K51" s="3">
        <v>131.27558898925699</v>
      </c>
      <c r="L51" s="3">
        <v>3826.31005859375</v>
      </c>
      <c r="N51" s="3">
        <f t="shared" si="2"/>
        <v>1.4466313543356257E-2</v>
      </c>
      <c r="O51" s="3">
        <f t="shared" si="23"/>
        <v>-7.8087419443999551E-3</v>
      </c>
      <c r="P51" s="3">
        <f t="shared" si="24"/>
        <v>-2.0163452775566526E-2</v>
      </c>
      <c r="Q51" s="3">
        <f t="shared" si="25"/>
        <v>7.0295343615158323E-2</v>
      </c>
      <c r="R51" s="3">
        <f t="shared" si="26"/>
        <v>-2.0956118951171554E-2</v>
      </c>
      <c r="S51" s="3">
        <f t="shared" si="27"/>
        <v>7.1353436577591189E-2</v>
      </c>
      <c r="T51" s="3">
        <f t="shared" si="28"/>
        <v>-1.6112745565930453E-3</v>
      </c>
      <c r="U51" s="3">
        <f t="shared" si="29"/>
        <v>-1.9381605838493243E-3</v>
      </c>
      <c r="V51" s="3">
        <f t="shared" si="30"/>
        <v>1.8927441955760571E-3</v>
      </c>
      <c r="W51" s="3">
        <f t="shared" si="31"/>
        <v>1.1386149026894721E-2</v>
      </c>
      <c r="X51" s="3">
        <f t="shared" si="32"/>
        <v>1.0082606153449802E-3</v>
      </c>
      <c r="Z51" s="6" t="s">
        <v>41</v>
      </c>
      <c r="AA51" s="3">
        <v>-0.14645677112819019</v>
      </c>
      <c r="AB51" s="3">
        <v>0.65795555840672304</v>
      </c>
      <c r="AC51" s="3">
        <v>-9.1303776504543951E-2</v>
      </c>
      <c r="AD51" s="3">
        <v>2.4139068723141092E-2</v>
      </c>
      <c r="AE51" s="3">
        <v>-0.49798648412694163</v>
      </c>
      <c r="AF51" s="3">
        <v>-0.45900045374697912</v>
      </c>
      <c r="AG51" s="3">
        <v>-0.1869049623974349</v>
      </c>
      <c r="AH51" s="3">
        <v>-0.16302358161308972</v>
      </c>
      <c r="AI51" s="3">
        <v>8.9036192175001597E-2</v>
      </c>
      <c r="AJ51" s="3">
        <v>-9.2823873808275836E-2</v>
      </c>
      <c r="AK51" s="3"/>
      <c r="AL51" s="8"/>
      <c r="AW51" s="3"/>
      <c r="AY51" s="5"/>
      <c r="AZ51" s="28">
        <f t="shared" si="13"/>
        <v>44225</v>
      </c>
      <c r="BA51" s="3">
        <f t="shared" si="14"/>
        <v>46</v>
      </c>
      <c r="BB51" s="3">
        <f t="shared" si="8"/>
        <v>1.1074002239201484</v>
      </c>
      <c r="BC51" s="3">
        <f t="shared" si="9"/>
        <v>1.0785355755930537</v>
      </c>
      <c r="BD51" s="3">
        <f t="shared" si="10"/>
        <v>1.234458319841125</v>
      </c>
      <c r="BE51" s="3">
        <f t="shared" si="11"/>
        <v>0.84370916297070286</v>
      </c>
      <c r="BG51" s="3">
        <f t="shared" si="12"/>
        <v>2.8182832482457607E-2</v>
      </c>
      <c r="BH51" s="3">
        <f t="shared" si="33"/>
        <v>2.4980453375827508E-2</v>
      </c>
      <c r="BI51" s="3">
        <f t="shared" si="34"/>
        <v>1.9888606591399571E-2</v>
      </c>
      <c r="BJ51" s="3">
        <f t="shared" si="35"/>
        <v>1.3305901885649563E-2</v>
      </c>
    </row>
    <row r="52" spans="1:62" x14ac:dyDescent="0.3">
      <c r="A52" s="27">
        <v>44230</v>
      </c>
      <c r="B52" s="3">
        <v>240.98004150390599</v>
      </c>
      <c r="C52" s="3">
        <v>133.11935424804599</v>
      </c>
      <c r="D52" s="3">
        <v>3312.53002929687</v>
      </c>
      <c r="E52" s="3">
        <v>2058.8798828125</v>
      </c>
      <c r="F52" s="3">
        <v>854.69000244140602</v>
      </c>
      <c r="G52" s="3">
        <v>2070.07006835937</v>
      </c>
      <c r="H52" s="3">
        <v>266.64999389648398</v>
      </c>
      <c r="I52" s="3">
        <v>135.18693542480401</v>
      </c>
      <c r="J52" s="3">
        <v>232.67999267578099</v>
      </c>
      <c r="K52" s="3">
        <v>132.77885437011699</v>
      </c>
      <c r="L52" s="3">
        <v>3830.169921875</v>
      </c>
      <c r="N52" s="3">
        <f t="shared" si="2"/>
        <v>-4.0824393338700915E-3</v>
      </c>
      <c r="O52" s="3">
        <f t="shared" si="23"/>
        <v>2.5431669850532579E-2</v>
      </c>
      <c r="P52" s="3">
        <f t="shared" si="24"/>
        <v>5.5603024921815347E-3</v>
      </c>
      <c r="Q52" s="3">
        <f t="shared" si="25"/>
        <v>-2.5531868134835989E-3</v>
      </c>
      <c r="R52" s="3">
        <f t="shared" si="26"/>
        <v>-5.5142597281383487E-3</v>
      </c>
      <c r="S52" s="3">
        <f t="shared" si="27"/>
        <v>-3.726592394431627E-3</v>
      </c>
      <c r="T52" s="3">
        <f t="shared" si="28"/>
        <v>-6.0023135264852812E-4</v>
      </c>
      <c r="U52" s="3">
        <f t="shared" si="29"/>
        <v>9.8365462803302606E-3</v>
      </c>
      <c r="V52" s="3">
        <f t="shared" si="30"/>
        <v>1.3192684102584451E-2</v>
      </c>
      <c r="W52" s="3">
        <f t="shared" si="31"/>
        <v>2.2752373408708948E-2</v>
      </c>
      <c r="X52" s="3">
        <f t="shared" si="32"/>
        <v>1.0794847643920136E-2</v>
      </c>
      <c r="Z52" s="6" t="s">
        <v>42</v>
      </c>
      <c r="AA52" s="3">
        <v>-8.7521573361630536E-2</v>
      </c>
      <c r="AB52" s="3">
        <v>0.69037105125161202</v>
      </c>
      <c r="AC52" s="3">
        <v>-0.16154629751847444</v>
      </c>
      <c r="AD52" s="3">
        <v>-1.5286529988639811E-2</v>
      </c>
      <c r="AE52" s="3">
        <v>0.54483981102158252</v>
      </c>
      <c r="AF52" s="3">
        <v>0.35073290989005823</v>
      </c>
      <c r="AG52" s="3">
        <v>-1.7078805589308285E-2</v>
      </c>
      <c r="AH52" s="3">
        <v>0.22403471426683808</v>
      </c>
      <c r="AI52" s="3">
        <v>-0.13049118811231519</v>
      </c>
      <c r="AJ52" s="3">
        <v>4.4963527698587885E-2</v>
      </c>
      <c r="AK52" s="3"/>
      <c r="AL52" s="8"/>
      <c r="AW52" s="3"/>
      <c r="AY52" s="5"/>
      <c r="AZ52" s="28">
        <f t="shared" si="13"/>
        <v>44228</v>
      </c>
      <c r="BA52" s="3">
        <f t="shared" si="14"/>
        <v>47</v>
      </c>
      <c r="BB52" s="3">
        <f t="shared" si="8"/>
        <v>1.1390538482126975</v>
      </c>
      <c r="BC52" s="3">
        <f t="shared" si="9"/>
        <v>1.1058172184742516</v>
      </c>
      <c r="BD52" s="3">
        <f t="shared" si="10"/>
        <v>1.2592557515056111</v>
      </c>
      <c r="BE52" s="3">
        <f t="shared" si="11"/>
        <v>0.85501049478089708</v>
      </c>
      <c r="BG52" s="3">
        <f t="shared" si="12"/>
        <v>1.8019270666722348E-2</v>
      </c>
      <c r="BH52" s="3">
        <f t="shared" si="33"/>
        <v>1.5359608237521277E-2</v>
      </c>
      <c r="BI52" s="3">
        <f t="shared" si="34"/>
        <v>1.9323254974447118E-2</v>
      </c>
      <c r="BJ52" s="3">
        <f t="shared" si="35"/>
        <v>1.9681960055025843E-2</v>
      </c>
    </row>
    <row r="53" spans="1:62" x14ac:dyDescent="0.3">
      <c r="A53" s="27">
        <v>44231</v>
      </c>
      <c r="B53" s="3">
        <v>239.99826049804599</v>
      </c>
      <c r="C53" s="3">
        <v>136.54821777343699</v>
      </c>
      <c r="D53" s="3">
        <v>3331</v>
      </c>
      <c r="E53" s="3">
        <v>2053.6298828125</v>
      </c>
      <c r="F53" s="3">
        <v>849.989990234375</v>
      </c>
      <c r="G53" s="3">
        <v>2062.3701171875</v>
      </c>
      <c r="H53" s="3">
        <v>266.489990234375</v>
      </c>
      <c r="I53" s="3">
        <v>136.52326965332</v>
      </c>
      <c r="J53" s="3">
        <v>235.77000427246</v>
      </c>
      <c r="K53" s="3">
        <v>135.83451843261699</v>
      </c>
      <c r="L53" s="3">
        <v>3871.73999023437</v>
      </c>
      <c r="N53" s="3">
        <f t="shared" si="2"/>
        <v>7.8476238083524663E-4</v>
      </c>
      <c r="O53" s="3">
        <f t="shared" si="23"/>
        <v>-3.1029817247496538E-3</v>
      </c>
      <c r="P53" s="3">
        <f t="shared" si="24"/>
        <v>6.3293426779882367E-3</v>
      </c>
      <c r="Q53" s="3">
        <f t="shared" si="25"/>
        <v>1.6995236117351986E-2</v>
      </c>
      <c r="R53" s="3">
        <f t="shared" si="26"/>
        <v>2.6318473122044495E-3</v>
      </c>
      <c r="S53" s="3">
        <f t="shared" si="27"/>
        <v>1.7128646215168075E-2</v>
      </c>
      <c r="T53" s="3">
        <f t="shared" si="28"/>
        <v>6.023385203381082E-3</v>
      </c>
      <c r="U53" s="3">
        <f t="shared" si="29"/>
        <v>-5.3749857080962471E-3</v>
      </c>
      <c r="V53" s="3">
        <f t="shared" si="30"/>
        <v>-2.590622560603606E-3</v>
      </c>
      <c r="W53" s="3">
        <f t="shared" si="31"/>
        <v>-1.954942726603015E-3</v>
      </c>
      <c r="X53" s="3">
        <f t="shared" si="32"/>
        <v>3.8899196077650799E-3</v>
      </c>
      <c r="AK53" s="3"/>
      <c r="AL53" s="8"/>
      <c r="AW53" s="3"/>
      <c r="AY53" s="5"/>
      <c r="AZ53" s="28">
        <f t="shared" si="13"/>
        <v>44229</v>
      </c>
      <c r="BA53" s="3">
        <f t="shared" si="14"/>
        <v>48</v>
      </c>
      <c r="BB53" s="3">
        <f t="shared" si="8"/>
        <v>1.1597648055901904</v>
      </c>
      <c r="BC53" s="3">
        <f t="shared" si="9"/>
        <v>1.122933248997668</v>
      </c>
      <c r="BD53" s="3">
        <f t="shared" si="10"/>
        <v>1.283825288692682</v>
      </c>
      <c r="BE53" s="3">
        <f t="shared" si="11"/>
        <v>0.87200547583276578</v>
      </c>
      <c r="BG53" s="3">
        <f t="shared" si="12"/>
        <v>1.0550471207439571E-2</v>
      </c>
      <c r="BH53" s="3">
        <f t="shared" si="33"/>
        <v>1.3941770048454288E-2</v>
      </c>
      <c r="BI53" s="3">
        <f t="shared" si="34"/>
        <v>-7.4713747309742562E-3</v>
      </c>
      <c r="BJ53" s="3">
        <f t="shared" si="35"/>
        <v>-2.7967151417512354E-2</v>
      </c>
    </row>
    <row r="54" spans="1:62" x14ac:dyDescent="0.3">
      <c r="A54" s="27">
        <v>44232</v>
      </c>
      <c r="B54" s="3">
        <v>240.18667602539</v>
      </c>
      <c r="C54" s="3">
        <v>136.12516784667901</v>
      </c>
      <c r="D54" s="3">
        <v>3352.14990234375</v>
      </c>
      <c r="E54" s="3">
        <v>2088.830078125</v>
      </c>
      <c r="F54" s="3">
        <v>852.22998046875</v>
      </c>
      <c r="G54" s="3">
        <v>2098</v>
      </c>
      <c r="H54" s="3">
        <v>268.100006103515</v>
      </c>
      <c r="I54" s="3">
        <v>135.79142761230401</v>
      </c>
      <c r="J54" s="3">
        <v>235.16000366210901</v>
      </c>
      <c r="K54" s="3">
        <v>135.56922912597599</v>
      </c>
      <c r="L54" s="3">
        <v>3886.830078125</v>
      </c>
      <c r="N54" s="3">
        <f t="shared" si="2"/>
        <v>1.1141837465427074E-3</v>
      </c>
      <c r="O54" s="3">
        <f t="shared" si="23"/>
        <v>1.0962368695892621E-3</v>
      </c>
      <c r="P54" s="3">
        <f t="shared" si="24"/>
        <v>-8.7519862867075915E-3</v>
      </c>
      <c r="Q54" s="3">
        <f t="shared" si="25"/>
        <v>-2.0655157248965494E-3</v>
      </c>
      <c r="R54" s="3">
        <f t="shared" si="26"/>
        <v>1.3044806761938865E-2</v>
      </c>
      <c r="S54" s="3">
        <f t="shared" si="27"/>
        <v>-2.4291099070357092E-3</v>
      </c>
      <c r="T54" s="3">
        <f t="shared" si="28"/>
        <v>-5.6857322022336731E-3</v>
      </c>
      <c r="U54" s="3">
        <f t="shared" si="29"/>
        <v>6.0507572414831401E-2</v>
      </c>
      <c r="V54" s="3">
        <f t="shared" si="30"/>
        <v>9.5645678061906381E-3</v>
      </c>
      <c r="W54" s="3">
        <f t="shared" si="31"/>
        <v>1.5533344389598192E-2</v>
      </c>
      <c r="X54" s="3">
        <f t="shared" si="32"/>
        <v>7.3721074762875816E-3</v>
      </c>
      <c r="Z54" s="4" t="s">
        <v>20</v>
      </c>
      <c r="AK54" s="3"/>
      <c r="AL54" s="8"/>
      <c r="AW54" s="3"/>
      <c r="AY54" s="5"/>
      <c r="AZ54" s="28">
        <f t="shared" si="13"/>
        <v>44230</v>
      </c>
      <c r="BA54" s="3">
        <f t="shared" si="14"/>
        <v>49</v>
      </c>
      <c r="BB54" s="3">
        <f t="shared" si="8"/>
        <v>1.1720656465101054</v>
      </c>
      <c r="BC54" s="3">
        <f t="shared" si="9"/>
        <v>1.1386985690062854</v>
      </c>
      <c r="BD54" s="3">
        <f t="shared" si="10"/>
        <v>1.2742690922872775</v>
      </c>
      <c r="BE54" s="3">
        <f t="shared" si="11"/>
        <v>0.84795583417645248</v>
      </c>
      <c r="BG54" s="3">
        <f t="shared" si="12"/>
        <v>5.4620650530111114E-3</v>
      </c>
      <c r="BH54" s="3">
        <f t="shared" si="33"/>
        <v>6.623487133606859E-3</v>
      </c>
      <c r="BI54" s="3">
        <f t="shared" si="34"/>
        <v>1.3794573945739574E-2</v>
      </c>
      <c r="BJ54" s="3">
        <f t="shared" si="35"/>
        <v>2.159582160647408E-2</v>
      </c>
    </row>
    <row r="55" spans="1:62" x14ac:dyDescent="0.3">
      <c r="A55" s="27">
        <v>44235</v>
      </c>
      <c r="B55" s="3">
        <v>240.45443725585901</v>
      </c>
      <c r="C55" s="3">
        <v>136.27447509765599</v>
      </c>
      <c r="D55" s="3">
        <v>3322.93994140625</v>
      </c>
      <c r="E55" s="3">
        <v>2084.52001953125</v>
      </c>
      <c r="F55" s="3">
        <v>863.41998291015602</v>
      </c>
      <c r="G55" s="3">
        <v>2092.90991210937</v>
      </c>
      <c r="H55" s="3">
        <v>266.579986572265</v>
      </c>
      <c r="I55" s="3">
        <v>144.26150512695301</v>
      </c>
      <c r="J55" s="3">
        <v>237.419998168945</v>
      </c>
      <c r="K55" s="3">
        <v>137.69151306152301</v>
      </c>
      <c r="L55" s="3">
        <v>3915.59008789062</v>
      </c>
      <c r="N55" s="3">
        <f t="shared" si="2"/>
        <v>5.3471291213380567E-3</v>
      </c>
      <c r="O55" s="3">
        <f t="shared" si="23"/>
        <v>-6.5952946073437602E-3</v>
      </c>
      <c r="P55" s="3">
        <f t="shared" si="24"/>
        <v>-5.4134422991740649E-3</v>
      </c>
      <c r="Q55" s="3">
        <f t="shared" si="25"/>
        <v>-4.3895862200491464E-3</v>
      </c>
      <c r="R55" s="3">
        <f t="shared" si="26"/>
        <v>-1.6300347945798599E-2</v>
      </c>
      <c r="S55" s="3">
        <f t="shared" si="27"/>
        <v>-4.5014238950855656E-3</v>
      </c>
      <c r="T55" s="3">
        <f t="shared" si="28"/>
        <v>1.0708553877520899E-2</v>
      </c>
      <c r="U55" s="3">
        <f t="shared" si="29"/>
        <v>-1.22291245140147E-2</v>
      </c>
      <c r="V55" s="3">
        <f t="shared" si="30"/>
        <v>1.0433151363335114E-2</v>
      </c>
      <c r="W55" s="3">
        <f t="shared" si="31"/>
        <v>-4.0041267300265915E-3</v>
      </c>
      <c r="X55" s="3">
        <f t="shared" si="32"/>
        <v>-1.1141454217202806E-3</v>
      </c>
      <c r="Z55" s="6" t="s">
        <v>12</v>
      </c>
      <c r="AA55" s="6">
        <v>1</v>
      </c>
      <c r="AB55" s="6">
        <v>2</v>
      </c>
      <c r="AC55" s="6">
        <v>3</v>
      </c>
      <c r="AD55" s="6">
        <v>4</v>
      </c>
      <c r="AE55" s="6">
        <v>5</v>
      </c>
      <c r="AF55" s="6">
        <v>6</v>
      </c>
      <c r="AG55" s="6">
        <v>7</v>
      </c>
      <c r="AH55" s="6">
        <v>8</v>
      </c>
      <c r="AI55" s="6">
        <v>9</v>
      </c>
      <c r="AJ55" s="6">
        <v>10</v>
      </c>
      <c r="AK55" s="3"/>
      <c r="AL55" s="8"/>
      <c r="AW55" s="3"/>
      <c r="AY55" s="5"/>
      <c r="AZ55" s="28">
        <f t="shared" si="13"/>
        <v>44231</v>
      </c>
      <c r="BA55" s="3">
        <f t="shared" si="14"/>
        <v>50</v>
      </c>
      <c r="BB55" s="3">
        <f t="shared" si="8"/>
        <v>1.1784850609876734</v>
      </c>
      <c r="BC55" s="3">
        <f t="shared" si="9"/>
        <v>1.1462657572494124</v>
      </c>
      <c r="BD55" s="3">
        <f t="shared" si="10"/>
        <v>1.291968891427564</v>
      </c>
      <c r="BE55" s="3">
        <f t="shared" si="11"/>
        <v>0.86646730284715612</v>
      </c>
      <c r="BG55" s="3">
        <f t="shared" si="12"/>
        <v>3.7865337931198007E-3</v>
      </c>
      <c r="BH55" s="3">
        <f t="shared" si="33"/>
        <v>3.8079824992479083E-3</v>
      </c>
      <c r="BI55" s="3">
        <f t="shared" si="34"/>
        <v>-2.90963053044202E-3</v>
      </c>
      <c r="BJ55" s="3">
        <f t="shared" si="35"/>
        <v>-9.7405882930166332E-3</v>
      </c>
    </row>
    <row r="56" spans="1:62" x14ac:dyDescent="0.3">
      <c r="A56" s="27">
        <v>44236</v>
      </c>
      <c r="B56" s="3">
        <v>241.74362182617099</v>
      </c>
      <c r="C56" s="3">
        <v>135.378662109375</v>
      </c>
      <c r="D56" s="3">
        <v>3305</v>
      </c>
      <c r="E56" s="3">
        <v>2075.38989257812</v>
      </c>
      <c r="F56" s="3">
        <v>849.46002197265602</v>
      </c>
      <c r="G56" s="3">
        <v>2083.51000976562</v>
      </c>
      <c r="H56" s="3">
        <v>269.45001220703102</v>
      </c>
      <c r="I56" s="3">
        <v>142.508056640625</v>
      </c>
      <c r="J56" s="3">
        <v>239.91000366210901</v>
      </c>
      <c r="K56" s="3">
        <v>137.14128112792901</v>
      </c>
      <c r="L56" s="3">
        <v>3911.22998046875</v>
      </c>
      <c r="N56" s="3">
        <f t="shared" si="2"/>
        <v>-3.9046878452895228E-3</v>
      </c>
      <c r="O56" s="3">
        <f t="shared" si="23"/>
        <v>-4.5689426714705661E-3</v>
      </c>
      <c r="P56" s="3">
        <f t="shared" si="24"/>
        <v>-5.5889391023349333E-3</v>
      </c>
      <c r="Q56" s="3">
        <f t="shared" si="25"/>
        <v>5.3293901432134305E-3</v>
      </c>
      <c r="R56" s="3">
        <f t="shared" si="26"/>
        <v>-5.3982220316743046E-2</v>
      </c>
      <c r="S56" s="3">
        <f t="shared" si="27"/>
        <v>5.6808890755819519E-3</v>
      </c>
      <c r="T56" s="3">
        <f t="shared" si="28"/>
        <v>8.9411032261201839E-3</v>
      </c>
      <c r="U56" s="3">
        <f t="shared" si="29"/>
        <v>3.4522222783034628E-2</v>
      </c>
      <c r="V56" s="3">
        <f t="shared" si="30"/>
        <v>4.16585323943508E-5</v>
      </c>
      <c r="W56" s="3">
        <f t="shared" si="31"/>
        <v>5.7306419720326573E-4</v>
      </c>
      <c r="X56" s="3">
        <f t="shared" si="32"/>
        <v>-3.4524452239104164E-4</v>
      </c>
      <c r="Z56" s="6" t="s">
        <v>10</v>
      </c>
      <c r="AA56" s="6">
        <v>4.6608447513825277</v>
      </c>
      <c r="AB56" s="6">
        <v>1.6832657767821888</v>
      </c>
      <c r="AC56" s="6">
        <v>0.95842052424187862</v>
      </c>
      <c r="AD56" s="6">
        <v>0.63281743606138419</v>
      </c>
      <c r="AE56" s="6">
        <v>0.5546029447156674</v>
      </c>
      <c r="AF56" s="6">
        <v>0.51954371022497259</v>
      </c>
      <c r="AG56" s="6">
        <v>0.43592969767935252</v>
      </c>
      <c r="AH56" s="6">
        <v>0.30613487932526956</v>
      </c>
      <c r="AI56" s="6">
        <v>0.22679548118452963</v>
      </c>
      <c r="AJ56" s="6">
        <v>2.1644798402232501E-2</v>
      </c>
      <c r="AK56" s="3"/>
      <c r="AL56" s="8"/>
      <c r="AW56" s="3"/>
      <c r="AY56" s="5"/>
      <c r="AZ56" s="28">
        <f t="shared" si="13"/>
        <v>44232</v>
      </c>
      <c r="BA56" s="3">
        <f t="shared" si="14"/>
        <v>51</v>
      </c>
      <c r="BB56" s="3">
        <f t="shared" si="8"/>
        <v>1.1829558936333999</v>
      </c>
      <c r="BC56" s="3">
        <f t="shared" si="9"/>
        <v>1.1506390385972771</v>
      </c>
      <c r="BD56" s="3">
        <f t="shared" si="10"/>
        <v>1.2882152028683131</v>
      </c>
      <c r="BE56" s="3">
        <f t="shared" si="11"/>
        <v>0.85806837324521268</v>
      </c>
      <c r="BG56" s="3">
        <f t="shared" si="12"/>
        <v>8.3082350866275911E-3</v>
      </c>
      <c r="BH56" s="3">
        <f t="shared" si="33"/>
        <v>6.0376326569444583E-3</v>
      </c>
      <c r="BI56" s="3">
        <f t="shared" si="34"/>
        <v>1.8269521141602019E-2</v>
      </c>
      <c r="BJ56" s="3">
        <f t="shared" si="35"/>
        <v>2.8779468249369944E-2</v>
      </c>
    </row>
    <row r="57" spans="1:62" x14ac:dyDescent="0.3">
      <c r="A57" s="27">
        <v>44237</v>
      </c>
      <c r="B57" s="3">
        <v>240.80152893066401</v>
      </c>
      <c r="C57" s="3">
        <v>134.76153564453099</v>
      </c>
      <c r="D57" s="3">
        <v>3286.580078125</v>
      </c>
      <c r="E57" s="3">
        <v>2086.47998046875</v>
      </c>
      <c r="F57" s="3">
        <v>804.82000732421795</v>
      </c>
      <c r="G57" s="3">
        <v>2095.3798828125</v>
      </c>
      <c r="H57" s="3">
        <v>271.86999511718699</v>
      </c>
      <c r="I57" s="3">
        <v>147.51365661621</v>
      </c>
      <c r="J57" s="3">
        <v>239.919998168945</v>
      </c>
      <c r="K57" s="3">
        <v>137.21989440917901</v>
      </c>
      <c r="L57" s="3">
        <v>3909.8798828125</v>
      </c>
      <c r="N57" s="3">
        <f t="shared" si="2"/>
        <v>6.8540214517893716E-3</v>
      </c>
      <c r="O57" s="3">
        <f t="shared" si="23"/>
        <v>-1.9221943589542434E-3</v>
      </c>
      <c r="P57" s="3">
        <f t="shared" si="24"/>
        <v>-7.4672138691997958E-3</v>
      </c>
      <c r="Q57" s="3">
        <f t="shared" si="25"/>
        <v>1.0873747149435786E-3</v>
      </c>
      <c r="R57" s="3">
        <f t="shared" si="26"/>
        <v>8.4628411436238338E-3</v>
      </c>
      <c r="S57" s="3">
        <f t="shared" si="27"/>
        <v>2.4336766443955327E-4</v>
      </c>
      <c r="T57" s="3">
        <f t="shared" si="28"/>
        <v>-5.458577497491568E-3</v>
      </c>
      <c r="U57" s="3">
        <f t="shared" si="29"/>
        <v>3.2420023762539607E-2</v>
      </c>
      <c r="V57" s="3">
        <f t="shared" si="30"/>
        <v>-6.6712671150526148E-4</v>
      </c>
      <c r="W57" s="3">
        <f t="shared" si="31"/>
        <v>-2.7964604877217525E-3</v>
      </c>
      <c r="X57" s="3">
        <f t="shared" si="32"/>
        <v>1.6610748145886589E-3</v>
      </c>
      <c r="Z57" s="6" t="s">
        <v>33</v>
      </c>
      <c r="AA57" s="3">
        <v>-0.38538079035452777</v>
      </c>
      <c r="AB57" s="3">
        <v>-9.7418718557065853E-2</v>
      </c>
      <c r="AC57" s="3">
        <v>7.7517506607752987E-2</v>
      </c>
      <c r="AD57" s="3">
        <v>-0.13701000672298594</v>
      </c>
      <c r="AE57" s="3">
        <v>0.23848247160592098</v>
      </c>
      <c r="AF57" s="3">
        <v>0.32242681807036699</v>
      </c>
      <c r="AG57" s="3">
        <v>-0.32674799186500342</v>
      </c>
      <c r="AH57" s="3">
        <v>-0.46923674212737609</v>
      </c>
      <c r="AI57" s="3">
        <v>0.5737541802267786</v>
      </c>
      <c r="AJ57" s="3">
        <v>-1.5374068278236697E-2</v>
      </c>
      <c r="AL57" s="8"/>
      <c r="AW57" s="3"/>
      <c r="AY57" s="5"/>
      <c r="AZ57" s="28">
        <f t="shared" si="13"/>
        <v>44235</v>
      </c>
      <c r="BA57" s="3">
        <f t="shared" si="14"/>
        <v>52</v>
      </c>
      <c r="BB57" s="3">
        <f t="shared" si="8"/>
        <v>1.1928251104114262</v>
      </c>
      <c r="BC57" s="3">
        <f t="shared" si="9"/>
        <v>1.1576071888312827</v>
      </c>
      <c r="BD57" s="3">
        <f t="shared" si="10"/>
        <v>1.3119665802660156</v>
      </c>
      <c r="BE57" s="3">
        <f t="shared" si="11"/>
        <v>0.88312190926265288</v>
      </c>
      <c r="BG57" s="3">
        <f t="shared" si="12"/>
        <v>-3.6267869710787659E-3</v>
      </c>
      <c r="BH57" s="3">
        <f t="shared" si="33"/>
        <v>-1.4042171338211618E-3</v>
      </c>
      <c r="BI57" s="3">
        <f t="shared" si="34"/>
        <v>-3.8570002803404724E-3</v>
      </c>
      <c r="BJ57" s="3">
        <f t="shared" si="35"/>
        <v>-4.6563102386190935E-3</v>
      </c>
    </row>
    <row r="58" spans="1:62" x14ac:dyDescent="0.3">
      <c r="A58" s="27">
        <v>44238</v>
      </c>
      <c r="B58" s="3">
        <v>242.45765686035099</v>
      </c>
      <c r="C58" s="3">
        <v>134.50274658203099</v>
      </c>
      <c r="D58" s="3">
        <v>3262.1298828125</v>
      </c>
      <c r="E58" s="3">
        <v>2088.75</v>
      </c>
      <c r="F58" s="3">
        <v>811.65997314453102</v>
      </c>
      <c r="G58" s="3">
        <v>2095.88989257812</v>
      </c>
      <c r="H58" s="3">
        <v>270.39001464843699</v>
      </c>
      <c r="I58" s="3">
        <v>152.374420166015</v>
      </c>
      <c r="J58" s="3">
        <v>239.759994506835</v>
      </c>
      <c r="K58" s="3">
        <v>136.83670043945301</v>
      </c>
      <c r="L58" s="3">
        <v>3916.3798828125</v>
      </c>
      <c r="N58" s="3">
        <f t="shared" si="2"/>
        <v>2.0430093879246769E-3</v>
      </c>
      <c r="O58" s="3">
        <f t="shared" si="23"/>
        <v>1.7744208050638477E-3</v>
      </c>
      <c r="P58" s="3">
        <f t="shared" si="24"/>
        <v>4.7646755799277685E-3</v>
      </c>
      <c r="Q58" s="3">
        <f t="shared" si="25"/>
        <v>3.002086137162685E-3</v>
      </c>
      <c r="R58" s="3">
        <f t="shared" si="26"/>
        <v>5.4798968171931861E-3</v>
      </c>
      <c r="S58" s="3">
        <f t="shared" si="27"/>
        <v>3.9143930190075338E-3</v>
      </c>
      <c r="T58" s="3">
        <f t="shared" si="28"/>
        <v>4.0668287489253885E-4</v>
      </c>
      <c r="U58" s="3">
        <f t="shared" si="29"/>
        <v>-1.9165140405638326E-2</v>
      </c>
      <c r="V58" s="3">
        <f t="shared" si="30"/>
        <v>1.1198375911745551E-2</v>
      </c>
      <c r="W58" s="3">
        <f t="shared" si="31"/>
        <v>1.4116862314430101E-2</v>
      </c>
      <c r="X58" s="3">
        <f t="shared" si="32"/>
        <v>4.6999709261612566E-3</v>
      </c>
      <c r="Z58" s="6" t="s">
        <v>34</v>
      </c>
      <c r="AA58" s="3">
        <v>-0.35474262634983084</v>
      </c>
      <c r="AB58" s="3">
        <v>-7.3820046252953408E-2</v>
      </c>
      <c r="AC58" s="3">
        <v>-0.13920107739773982</v>
      </c>
      <c r="AD58" s="3">
        <v>-0.3042287900415957</v>
      </c>
      <c r="AE58" s="3">
        <v>-0.38319242671834158</v>
      </c>
      <c r="AF58" s="3">
        <v>0.49796550444586879</v>
      </c>
      <c r="AG58" s="3">
        <v>-0.23456021606079366</v>
      </c>
      <c r="AH58" s="3">
        <v>0.54179276782368413</v>
      </c>
      <c r="AI58" s="3">
        <v>-0.11577339418427293</v>
      </c>
      <c r="AJ58" s="3">
        <v>-2.9523964790479861E-3</v>
      </c>
      <c r="AL58" s="8"/>
      <c r="AW58" s="3"/>
      <c r="AY58" s="5"/>
      <c r="AZ58" s="28">
        <f t="shared" si="13"/>
        <v>44236</v>
      </c>
      <c r="BA58" s="3">
        <f t="shared" si="14"/>
        <v>53</v>
      </c>
      <c r="BB58" s="3">
        <f t="shared" si="8"/>
        <v>1.1885068233292855</v>
      </c>
      <c r="BC58" s="3">
        <f t="shared" si="9"/>
        <v>1.1559827977483046</v>
      </c>
      <c r="BD58" s="3">
        <f t="shared" si="10"/>
        <v>1.3069160709671594</v>
      </c>
      <c r="BE58" s="3">
        <f t="shared" si="11"/>
        <v>0.87901937841512101</v>
      </c>
      <c r="BG58" s="3">
        <f t="shared" si="12"/>
        <v>-3.8536923259466782E-3</v>
      </c>
      <c r="BH58" s="3">
        <f t="shared" si="33"/>
        <v>-1.0579008301171977E-3</v>
      </c>
      <c r="BI58" s="3">
        <f t="shared" si="34"/>
        <v>-1.2796838276704636E-3</v>
      </c>
      <c r="BJ58" s="3">
        <f t="shared" si="35"/>
        <v>2.2974207104039801E-3</v>
      </c>
    </row>
    <row r="59" spans="1:62" x14ac:dyDescent="0.3">
      <c r="A59" s="27">
        <v>44239</v>
      </c>
      <c r="B59" s="3">
        <v>242.95350646972599</v>
      </c>
      <c r="C59" s="3">
        <v>134.74162292480401</v>
      </c>
      <c r="D59" s="3">
        <v>3277.7099609375</v>
      </c>
      <c r="E59" s="3">
        <v>2095.03002929687</v>
      </c>
      <c r="F59" s="3">
        <v>816.11999511718705</v>
      </c>
      <c r="G59" s="3">
        <v>2104.11010742187</v>
      </c>
      <c r="H59" s="3">
        <v>270.5</v>
      </c>
      <c r="I59" s="3">
        <v>149.48194885253901</v>
      </c>
      <c r="J59" s="3">
        <v>242.46000671386699</v>
      </c>
      <c r="K59" s="3">
        <v>138.78210449218699</v>
      </c>
      <c r="L59" s="3">
        <v>3934.830078125</v>
      </c>
      <c r="N59" s="3">
        <f t="shared" si="2"/>
        <v>-5.2795158184721913E-3</v>
      </c>
      <c r="O59" s="3">
        <f t="shared" si="23"/>
        <v>-1.6235055966252965E-2</v>
      </c>
      <c r="P59" s="3">
        <f t="shared" si="24"/>
        <v>-2.6761784211952744E-3</v>
      </c>
      <c r="Q59" s="3">
        <f t="shared" si="25"/>
        <v>7.4517358261871891E-3</v>
      </c>
      <c r="R59" s="3">
        <f t="shared" si="26"/>
        <v>-2.4685904220052457E-2</v>
      </c>
      <c r="S59" s="3">
        <f t="shared" si="27"/>
        <v>8.41924177388087E-3</v>
      </c>
      <c r="T59" s="3">
        <f t="shared" si="28"/>
        <v>1.2746517511683209E-2</v>
      </c>
      <c r="U59" s="3">
        <f t="shared" si="29"/>
        <v>2.4364493151832534E-2</v>
      </c>
      <c r="V59" s="3">
        <f t="shared" si="30"/>
        <v>1.1563634137671919E-2</v>
      </c>
      <c r="W59" s="3">
        <f t="shared" si="31"/>
        <v>2.3785738089226349E-2</v>
      </c>
      <c r="X59" s="3">
        <f t="shared" si="32"/>
        <v>-5.6943451541613399E-4</v>
      </c>
      <c r="Z59" s="6" t="s">
        <v>35</v>
      </c>
      <c r="AA59" s="3">
        <v>-0.34685955686831221</v>
      </c>
      <c r="AB59" s="3">
        <v>-0.16950880518835493</v>
      </c>
      <c r="AC59" s="3">
        <v>2.4132571758131993E-2</v>
      </c>
      <c r="AD59" s="3">
        <v>-0.3247853129341457</v>
      </c>
      <c r="AE59" s="3">
        <v>-0.24021646103176258</v>
      </c>
      <c r="AF59" s="3">
        <v>-5.0646739629977809E-3</v>
      </c>
      <c r="AG59" s="3">
        <v>0.79110962321171152</v>
      </c>
      <c r="AH59" s="3">
        <v>-0.24718342630408494</v>
      </c>
      <c r="AI59" s="3">
        <v>8.7900011387250961E-3</v>
      </c>
      <c r="AJ59" s="3">
        <v>1.1242192168093471E-2</v>
      </c>
      <c r="AL59" s="8"/>
      <c r="AW59" s="3"/>
      <c r="AY59" s="5"/>
      <c r="AZ59" s="28">
        <f t="shared" si="13"/>
        <v>44237</v>
      </c>
      <c r="BA59" s="3">
        <f t="shared" si="14"/>
        <v>54</v>
      </c>
      <c r="BB59" s="3">
        <f t="shared" si="8"/>
        <v>1.1839354976036942</v>
      </c>
      <c r="BC59" s="3">
        <f t="shared" si="9"/>
        <v>1.1547605292204028</v>
      </c>
      <c r="BD59" s="3">
        <f t="shared" si="10"/>
        <v>1.3052447012475052</v>
      </c>
      <c r="BE59" s="3">
        <f t="shared" si="11"/>
        <v>0.88104117731198894</v>
      </c>
      <c r="BG59" s="3">
        <f t="shared" si="12"/>
        <v>3.4538878812837293E-3</v>
      </c>
      <c r="BH59" s="3">
        <f t="shared" si="33"/>
        <v>1.7538422015875299E-3</v>
      </c>
      <c r="BI59" s="3">
        <f t="shared" si="34"/>
        <v>6.2403103040153396E-3</v>
      </c>
      <c r="BJ59" s="3">
        <f t="shared" si="35"/>
        <v>9.9323622744293544E-3</v>
      </c>
    </row>
    <row r="60" spans="1:62" x14ac:dyDescent="0.3">
      <c r="A60" s="27">
        <v>44243</v>
      </c>
      <c r="B60" s="3">
        <v>241.67420959472599</v>
      </c>
      <c r="C60" s="3">
        <v>132.57174682617099</v>
      </c>
      <c r="D60" s="3">
        <v>3268.94995117187</v>
      </c>
      <c r="E60" s="3">
        <v>2110.69995117187</v>
      </c>
      <c r="F60" s="3">
        <v>796.219970703125</v>
      </c>
      <c r="G60" s="3">
        <v>2121.89990234375</v>
      </c>
      <c r="H60" s="3">
        <v>273.97000122070301</v>
      </c>
      <c r="I60" s="3">
        <v>153.16873168945301</v>
      </c>
      <c r="J60" s="3">
        <v>245.27999877929599</v>
      </c>
      <c r="K60" s="3">
        <v>142.12271118164</v>
      </c>
      <c r="L60" s="3">
        <v>3932.59008789062</v>
      </c>
      <c r="N60" s="3">
        <f t="shared" si="2"/>
        <v>4.3501295897412362E-3</v>
      </c>
      <c r="O60" s="3">
        <f t="shared" si="23"/>
        <v>-1.780139499285216E-2</v>
      </c>
      <c r="P60" s="3">
        <f t="shared" si="24"/>
        <v>1.2068378865386364E-2</v>
      </c>
      <c r="Q60" s="3">
        <f t="shared" si="25"/>
        <v>3.7453657543675689E-3</v>
      </c>
      <c r="R60" s="3">
        <f t="shared" si="26"/>
        <v>2.4210875262644649E-3</v>
      </c>
      <c r="S60" s="3">
        <f t="shared" si="27"/>
        <v>3.0163973870607208E-3</v>
      </c>
      <c r="T60" s="3">
        <f t="shared" si="28"/>
        <v>-1.4610584117979997E-3</v>
      </c>
      <c r="U60" s="3">
        <f t="shared" si="29"/>
        <v>-2.806429979311087E-2</v>
      </c>
      <c r="V60" s="3">
        <f t="shared" si="30"/>
        <v>-1.2231170125343027E-4</v>
      </c>
      <c r="W60" s="3">
        <f t="shared" si="31"/>
        <v>3.1061352013379562E-3</v>
      </c>
      <c r="X60" s="3">
        <f t="shared" si="32"/>
        <v>-3.2045334891606103E-4</v>
      </c>
      <c r="Z60" s="6" t="s">
        <v>36</v>
      </c>
      <c r="AA60" s="3">
        <v>-0.40575196470633157</v>
      </c>
      <c r="AB60" s="3">
        <v>5.7416745067922249E-2</v>
      </c>
      <c r="AC60" s="3">
        <v>0.34324832433735836</v>
      </c>
      <c r="AD60" s="3">
        <v>0.28415278770346641</v>
      </c>
      <c r="AE60" s="3">
        <v>0.25566150766077939</v>
      </c>
      <c r="AF60" s="3">
        <v>2.0885783985709169E-3</v>
      </c>
      <c r="AG60" s="3">
        <v>6.1470014407381937E-2</v>
      </c>
      <c r="AH60" s="3">
        <v>0.16524551993112069</v>
      </c>
      <c r="AI60" s="3">
        <v>-0.15943130031639458</v>
      </c>
      <c r="AJ60" s="3">
        <v>0.71528755678710454</v>
      </c>
      <c r="AL60" s="8"/>
      <c r="AW60" s="3"/>
      <c r="AY60" s="5"/>
      <c r="AZ60" s="28">
        <f t="shared" si="13"/>
        <v>44238</v>
      </c>
      <c r="BA60" s="3">
        <f t="shared" si="14"/>
        <v>55</v>
      </c>
      <c r="BB60" s="3">
        <f t="shared" si="8"/>
        <v>1.1880317479937497</v>
      </c>
      <c r="BC60" s="3">
        <f t="shared" si="9"/>
        <v>1.1567875740080309</v>
      </c>
      <c r="BD60" s="3">
        <f t="shared" si="10"/>
        <v>1.3134153002278859</v>
      </c>
      <c r="BE60" s="3">
        <f t="shared" si="11"/>
        <v>0.88983559986041683</v>
      </c>
      <c r="BG60" s="3">
        <f t="shared" si="12"/>
        <v>2.8978834189441471E-3</v>
      </c>
      <c r="BH60" s="3">
        <f t="shared" si="33"/>
        <v>4.2112513273578622E-3</v>
      </c>
      <c r="BI60" s="3">
        <f t="shared" si="34"/>
        <v>2.9476783444464805E-3</v>
      </c>
      <c r="BJ60" s="3">
        <f t="shared" si="35"/>
        <v>1.4424028237970954E-3</v>
      </c>
    </row>
    <row r="61" spans="1:62" x14ac:dyDescent="0.3">
      <c r="A61" s="27">
        <v>44244</v>
      </c>
      <c r="B61" s="3">
        <v>242.72781372070301</v>
      </c>
      <c r="C61" s="3">
        <v>130.232666015625</v>
      </c>
      <c r="D61" s="3">
        <v>3308.63989257812</v>
      </c>
      <c r="E61" s="3">
        <v>2118.6201171875</v>
      </c>
      <c r="F61" s="3">
        <v>798.15002441406205</v>
      </c>
      <c r="G61" s="3">
        <v>2128.31005859375</v>
      </c>
      <c r="H61" s="3">
        <v>273.57000732421801</v>
      </c>
      <c r="I61" s="3">
        <v>148.929916381835</v>
      </c>
      <c r="J61" s="3">
        <v>245.25</v>
      </c>
      <c r="K61" s="3">
        <v>142.564849853515</v>
      </c>
      <c r="L61" s="3">
        <v>3931.330078125</v>
      </c>
      <c r="N61" s="3">
        <f t="shared" si="2"/>
        <v>-1.6803770091531334E-3</v>
      </c>
      <c r="O61" s="3">
        <f t="shared" si="23"/>
        <v>-8.6740218446488271E-3</v>
      </c>
      <c r="P61" s="3">
        <f t="shared" si="24"/>
        <v>5.9034289232666737E-3</v>
      </c>
      <c r="Q61" s="3">
        <f t="shared" si="25"/>
        <v>-6.0647696020748043E-3</v>
      </c>
      <c r="R61" s="3">
        <f t="shared" si="26"/>
        <v>-1.3585595961208341E-2</v>
      </c>
      <c r="S61" s="3">
        <f t="shared" si="27"/>
        <v>-5.2338271528560298E-3</v>
      </c>
      <c r="T61" s="3">
        <f t="shared" si="28"/>
        <v>-1.5397359247655729E-2</v>
      </c>
      <c r="U61" s="3">
        <f t="shared" si="29"/>
        <v>-5.1790232762520816E-3</v>
      </c>
      <c r="V61" s="3">
        <f t="shared" si="30"/>
        <v>-7.1611559228283994E-3</v>
      </c>
      <c r="W61" s="3">
        <f t="shared" si="31"/>
        <v>3.3712307365370009E-3</v>
      </c>
      <c r="X61" s="3">
        <f t="shared" si="32"/>
        <v>-4.4256142272445231E-3</v>
      </c>
      <c r="Z61" s="6" t="s">
        <v>37</v>
      </c>
      <c r="AA61" s="3">
        <v>-0.20724003724728751</v>
      </c>
      <c r="AB61" s="3">
        <v>-0.10418044959252988</v>
      </c>
      <c r="AC61" s="3">
        <v>-0.77423684453374808</v>
      </c>
      <c r="AD61" s="3">
        <v>0.52765760664285144</v>
      </c>
      <c r="AE61" s="3">
        <v>9.5356628996978138E-2</v>
      </c>
      <c r="AF61" s="3">
        <v>0.16814966581334556</v>
      </c>
      <c r="AG61" s="3">
        <v>0.12653229033925426</v>
      </c>
      <c r="AH61" s="3">
        <v>-9.9592145076864091E-2</v>
      </c>
      <c r="AI61" s="3">
        <v>-6.9404922848150433E-2</v>
      </c>
      <c r="AJ61" s="3">
        <v>1.4815654590011105E-2</v>
      </c>
      <c r="AL61" s="8"/>
      <c r="AW61" s="3"/>
      <c r="AY61" s="5"/>
      <c r="AZ61" s="28">
        <f t="shared" si="13"/>
        <v>44239</v>
      </c>
      <c r="BA61" s="3">
        <f t="shared" si="14"/>
        <v>56</v>
      </c>
      <c r="BB61" s="3">
        <f t="shared" si="8"/>
        <v>1.1914795187034395</v>
      </c>
      <c r="BC61" s="3">
        <f t="shared" si="9"/>
        <v>1.161669369233117</v>
      </c>
      <c r="BD61" s="3">
        <f t="shared" si="10"/>
        <v>1.3172925376826927</v>
      </c>
      <c r="BE61" s="3">
        <f t="shared" si="11"/>
        <v>0.8911200273505997</v>
      </c>
      <c r="BG61" s="3">
        <f t="shared" si="12"/>
        <v>2.8836758094659132E-3</v>
      </c>
      <c r="BH61" s="3">
        <f t="shared" si="33"/>
        <v>4.7163190236042263E-3</v>
      </c>
      <c r="BI61" s="3">
        <f t="shared" si="34"/>
        <v>6.2446130304372738E-3</v>
      </c>
      <c r="BJ61" s="3">
        <f t="shared" si="35"/>
        <v>8.5318200405101602E-3</v>
      </c>
    </row>
    <row r="62" spans="1:62" x14ac:dyDescent="0.3">
      <c r="A62" s="27">
        <v>44245</v>
      </c>
      <c r="B62" s="3">
        <v>242.32028198242099</v>
      </c>
      <c r="C62" s="3">
        <v>129.10791015625</v>
      </c>
      <c r="D62" s="3">
        <v>3328.22998046875</v>
      </c>
      <c r="E62" s="3">
        <v>2105.81005859375</v>
      </c>
      <c r="F62" s="3">
        <v>787.38000488281205</v>
      </c>
      <c r="G62" s="3">
        <v>2117.19995117187</v>
      </c>
      <c r="H62" s="3">
        <v>269.39001464843699</v>
      </c>
      <c r="I62" s="3">
        <v>148.16059875488199</v>
      </c>
      <c r="J62" s="3">
        <v>243.5</v>
      </c>
      <c r="K62" s="3">
        <v>143.04627990722599</v>
      </c>
      <c r="L62" s="3">
        <v>3913.96997070312</v>
      </c>
      <c r="N62" s="3">
        <f t="shared" si="2"/>
        <v>-1.1634731565804302E-2</v>
      </c>
      <c r="O62" s="3">
        <f t="shared" si="23"/>
        <v>1.2326324543892042E-3</v>
      </c>
      <c r="P62" s="3">
        <f t="shared" si="24"/>
        <v>-2.3816428691008085E-2</v>
      </c>
      <c r="Q62" s="3">
        <f t="shared" si="25"/>
        <v>-8.1056651627644527E-3</v>
      </c>
      <c r="R62" s="3">
        <f t="shared" si="26"/>
        <v>-7.7518009588946057E-3</v>
      </c>
      <c r="S62" s="3">
        <f t="shared" si="27"/>
        <v>-7.6144344860225033E-3</v>
      </c>
      <c r="T62" s="3">
        <f t="shared" si="28"/>
        <v>-2.9496504779713995E-2</v>
      </c>
      <c r="U62" s="3">
        <f t="shared" si="29"/>
        <v>6.5534499659696266E-3</v>
      </c>
      <c r="V62" s="3">
        <f t="shared" si="30"/>
        <v>-6.7992180168729988E-3</v>
      </c>
      <c r="W62" s="3">
        <f t="shared" si="31"/>
        <v>1.6552942257605174E-2</v>
      </c>
      <c r="X62" s="3">
        <f t="shared" si="32"/>
        <v>-1.856619095663703E-3</v>
      </c>
      <c r="Z62" s="6" t="s">
        <v>38</v>
      </c>
      <c r="AA62" s="3">
        <v>-0.40228713650284614</v>
      </c>
      <c r="AB62" s="3">
        <v>6.9776125948091211E-2</v>
      </c>
      <c r="AC62" s="3">
        <v>0.3430941733919094</v>
      </c>
      <c r="AD62" s="3">
        <v>0.30192633003262564</v>
      </c>
      <c r="AE62" s="3">
        <v>0.2563094577919075</v>
      </c>
      <c r="AF62" s="3">
        <v>3.1496715860379082E-2</v>
      </c>
      <c r="AG62" s="3">
        <v>8.8061917488133926E-2</v>
      </c>
      <c r="AH62" s="3">
        <v>0.14652717212191851</v>
      </c>
      <c r="AI62" s="3">
        <v>-0.20555234523767618</v>
      </c>
      <c r="AJ62" s="3">
        <v>-0.69732328950893063</v>
      </c>
      <c r="AL62" s="8"/>
      <c r="AW62" s="3"/>
      <c r="AY62" s="5"/>
      <c r="AZ62" s="28">
        <f t="shared" si="13"/>
        <v>44243</v>
      </c>
      <c r="BA62" s="3">
        <f t="shared" si="14"/>
        <v>57</v>
      </c>
      <c r="BB62" s="3">
        <f t="shared" si="8"/>
        <v>1.194920318059578</v>
      </c>
      <c r="BC62" s="3">
        <f t="shared" si="9"/>
        <v>1.1671611128060073</v>
      </c>
      <c r="BD62" s="3">
        <f t="shared" si="10"/>
        <v>1.3255442574119107</v>
      </c>
      <c r="BE62" s="3">
        <f t="shared" si="11"/>
        <v>0.89875542867721891</v>
      </c>
      <c r="BG62" s="3">
        <f t="shared" si="12"/>
        <v>-1.6838411084546812E-3</v>
      </c>
      <c r="BH62" s="3">
        <f t="shared" si="33"/>
        <v>-5.6809877175467705E-4</v>
      </c>
      <c r="BI62" s="3">
        <f t="shared" si="34"/>
        <v>-6.2339772950940064E-3</v>
      </c>
      <c r="BJ62" s="3">
        <f t="shared" si="35"/>
        <v>-1.1600773617865004E-2</v>
      </c>
    </row>
    <row r="63" spans="1:62" x14ac:dyDescent="0.3">
      <c r="A63" s="27">
        <v>44246</v>
      </c>
      <c r="B63" s="3">
        <v>239.51728820800699</v>
      </c>
      <c r="C63" s="3">
        <v>129.26715087890599</v>
      </c>
      <c r="D63" s="3">
        <v>3249.89990234375</v>
      </c>
      <c r="E63" s="3">
        <v>2088.81005859375</v>
      </c>
      <c r="F63" s="3">
        <v>781.29998779296795</v>
      </c>
      <c r="G63" s="3">
        <v>2101.13989257812</v>
      </c>
      <c r="H63" s="3">
        <v>261.55999755859301</v>
      </c>
      <c r="I63" s="3">
        <v>149.13475036621</v>
      </c>
      <c r="J63" s="3">
        <v>241.850006103515</v>
      </c>
      <c r="K63" s="3">
        <v>145.433822631835</v>
      </c>
      <c r="L63" s="3">
        <v>3906.7099609375</v>
      </c>
      <c r="N63" s="3">
        <f t="shared" si="2"/>
        <v>-2.7174260882993018E-2</v>
      </c>
      <c r="O63" s="3">
        <f t="shared" si="23"/>
        <v>-3.0251981072671796E-2</v>
      </c>
      <c r="P63" s="3">
        <f t="shared" si="24"/>
        <v>-2.1510325535599506E-2</v>
      </c>
      <c r="Q63" s="3">
        <f t="shared" si="25"/>
        <v>-1.6678863352519002E-2</v>
      </c>
      <c r="R63" s="3">
        <f t="shared" si="26"/>
        <v>-8.9376186008775171E-2</v>
      </c>
      <c r="S63" s="3">
        <f t="shared" si="27"/>
        <v>-1.7407946861450974E-2</v>
      </c>
      <c r="T63" s="3">
        <f t="shared" si="28"/>
        <v>-4.7136879464293457E-3</v>
      </c>
      <c r="U63" s="3">
        <f t="shared" si="29"/>
        <v>-3.8987669807991843E-2</v>
      </c>
      <c r="V63" s="3">
        <f t="shared" si="30"/>
        <v>1.2818034544946677E-2</v>
      </c>
      <c r="W63" s="3">
        <f t="shared" si="31"/>
        <v>9.3467588663393997E-3</v>
      </c>
      <c r="X63" s="3">
        <f t="shared" si="32"/>
        <v>-7.7628928937105712E-3</v>
      </c>
      <c r="Z63" s="6" t="s">
        <v>39</v>
      </c>
      <c r="AA63" s="3">
        <v>-0.33602784937080621</v>
      </c>
      <c r="AB63" s="3">
        <v>-4.3927031152229831E-2</v>
      </c>
      <c r="AC63" s="3">
        <v>5.7531390850595991E-2</v>
      </c>
      <c r="AD63" s="3">
        <v>0.29053312019921385</v>
      </c>
      <c r="AE63" s="3">
        <v>-0.64481770088664325</v>
      </c>
      <c r="AF63" s="3">
        <v>-0.52268469101872894</v>
      </c>
      <c r="AG63" s="3">
        <v>-0.2749052407050373</v>
      </c>
      <c r="AH63" s="3">
        <v>-0.11271445840983838</v>
      </c>
      <c r="AI63" s="3">
        <v>0.14099653949319974</v>
      </c>
      <c r="AJ63" s="3">
        <v>-1.7021376637346059E-2</v>
      </c>
      <c r="AL63" s="8"/>
      <c r="AW63" s="3"/>
      <c r="AY63" s="5"/>
      <c r="AZ63" s="28">
        <f t="shared" si="13"/>
        <v>44244</v>
      </c>
      <c r="BA63" s="3">
        <f t="shared" si="14"/>
        <v>58</v>
      </c>
      <c r="BB63" s="3">
        <f t="shared" si="8"/>
        <v>1.1929099551475606</v>
      </c>
      <c r="BC63" s="3">
        <f t="shared" si="9"/>
        <v>1.1664982383183014</v>
      </c>
      <c r="BD63" s="3">
        <f t="shared" si="10"/>
        <v>1.3173065481319988</v>
      </c>
      <c r="BE63" s="3">
        <f t="shared" si="11"/>
        <v>0.8883894135614725</v>
      </c>
      <c r="BG63" s="3">
        <f t="shared" si="12"/>
        <v>-5.532364399344708E-3</v>
      </c>
      <c r="BH63" s="3">
        <f t="shared" si="33"/>
        <v>-4.6566401213149478E-3</v>
      </c>
      <c r="BI63" s="3">
        <f t="shared" si="34"/>
        <v>-3.5791452021079473E-3</v>
      </c>
      <c r="BJ63" s="3">
        <f t="shared" si="35"/>
        <v>-1.5481800909006305E-3</v>
      </c>
    </row>
    <row r="64" spans="1:62" x14ac:dyDescent="0.3">
      <c r="A64" s="27">
        <v>44249</v>
      </c>
      <c r="B64" s="3">
        <v>233.09622192382801</v>
      </c>
      <c r="C64" s="3">
        <v>125.41512298583901</v>
      </c>
      <c r="D64" s="3">
        <v>3180.73999023437</v>
      </c>
      <c r="E64" s="3">
        <v>2054.26000976562</v>
      </c>
      <c r="F64" s="3">
        <v>714.5</v>
      </c>
      <c r="G64" s="3">
        <v>2064.8798828125</v>
      </c>
      <c r="H64" s="3">
        <v>260.329986572265</v>
      </c>
      <c r="I64" s="3">
        <v>143.43222045898401</v>
      </c>
      <c r="J64" s="3">
        <v>244.97000122070301</v>
      </c>
      <c r="K64" s="3">
        <v>146.79953002929599</v>
      </c>
      <c r="L64" s="3">
        <v>3876.5</v>
      </c>
      <c r="N64" s="3">
        <f t="shared" si="2"/>
        <v>-5.3016022841960719E-3</v>
      </c>
      <c r="O64" s="3">
        <f t="shared" si="23"/>
        <v>-1.1116739743002313E-3</v>
      </c>
      <c r="P64" s="3">
        <f t="shared" si="24"/>
        <v>4.3167100073677744E-3</v>
      </c>
      <c r="Q64" s="3">
        <f t="shared" si="25"/>
        <v>2.8485998880629637E-3</v>
      </c>
      <c r="R64" s="3">
        <f t="shared" si="26"/>
        <v>-2.2161141335042878E-2</v>
      </c>
      <c r="S64" s="3">
        <f t="shared" si="27"/>
        <v>2.8919752167526624E-3</v>
      </c>
      <c r="T64" s="3">
        <f t="shared" si="28"/>
        <v>2.1019793928513941E-2</v>
      </c>
      <c r="U64" s="3">
        <f t="shared" si="29"/>
        <v>-1.5001362778694904E-2</v>
      </c>
      <c r="V64" s="3">
        <f t="shared" si="30"/>
        <v>2.2833753390534284E-3</v>
      </c>
      <c r="W64" s="3">
        <f t="shared" si="31"/>
        <v>7.9995962502694695E-3</v>
      </c>
      <c r="X64" s="3">
        <f t="shared" si="32"/>
        <v>1.2555296115266401E-3</v>
      </c>
      <c r="Z64" s="6" t="s">
        <v>40</v>
      </c>
      <c r="AA64" s="3">
        <v>-0.30640725517281342</v>
      </c>
      <c r="AB64" s="3">
        <v>-0.1608126650960659</v>
      </c>
      <c r="AC64" s="3">
        <v>-0.31829632893325011</v>
      </c>
      <c r="AD64" s="3">
        <v>-0.46176627420519228</v>
      </c>
      <c r="AE64" s="3">
        <v>0.41473803490464994</v>
      </c>
      <c r="AF64" s="3">
        <v>-0.5662333945895901</v>
      </c>
      <c r="AG64" s="3">
        <v>-0.18021598627319219</v>
      </c>
      <c r="AH64" s="3">
        <v>0.14171591720531435</v>
      </c>
      <c r="AI64" s="3">
        <v>-0.14183534850764304</v>
      </c>
      <c r="AJ64" s="3">
        <v>-2.0171068076979375E-2</v>
      </c>
      <c r="AL64" s="8"/>
      <c r="AW64" s="3"/>
      <c r="AY64" s="5"/>
      <c r="AZ64" s="28">
        <f t="shared" si="13"/>
        <v>44245</v>
      </c>
      <c r="BA64" s="3">
        <f t="shared" si="14"/>
        <v>59</v>
      </c>
      <c r="BB64" s="3">
        <f t="shared" si="8"/>
        <v>1.1863285646916135</v>
      </c>
      <c r="BC64" s="3">
        <f t="shared" si="9"/>
        <v>1.1610789035590092</v>
      </c>
      <c r="BD64" s="3">
        <f t="shared" si="10"/>
        <v>1.3126001441962747</v>
      </c>
      <c r="BE64" s="3">
        <f t="shared" si="11"/>
        <v>0.8870150908824399</v>
      </c>
      <c r="BG64" s="3">
        <f t="shared" si="12"/>
        <v>-6.4485527988017433E-3</v>
      </c>
      <c r="BH64" s="3">
        <f t="shared" si="33"/>
        <v>-6.4847295072286426E-3</v>
      </c>
      <c r="BI64" s="3">
        <f t="shared" si="34"/>
        <v>7.9744895678979244E-4</v>
      </c>
      <c r="BJ64" s="3">
        <f t="shared" si="35"/>
        <v>6.5491048151622711E-3</v>
      </c>
    </row>
    <row r="65" spans="1:62" x14ac:dyDescent="0.3">
      <c r="A65" s="27">
        <v>44250</v>
      </c>
      <c r="B65" s="3">
        <v>231.86370849609301</v>
      </c>
      <c r="C65" s="3">
        <v>125.27577972412099</v>
      </c>
      <c r="D65" s="3">
        <v>3194.5</v>
      </c>
      <c r="E65" s="3">
        <v>2060.1201171875</v>
      </c>
      <c r="F65" s="3">
        <v>698.84002685546795</v>
      </c>
      <c r="G65" s="3">
        <v>2070.86010742187</v>
      </c>
      <c r="H65" s="3">
        <v>265.85998535156199</v>
      </c>
      <c r="I65" s="3">
        <v>141.29660034179599</v>
      </c>
      <c r="J65" s="3">
        <v>245.52999877929599</v>
      </c>
      <c r="K65" s="3">
        <v>147.97857666015599</v>
      </c>
      <c r="L65" s="3">
        <v>3881.3701171875</v>
      </c>
      <c r="N65" s="3">
        <f t="shared" si="2"/>
        <v>5.4721799649719571E-3</v>
      </c>
      <c r="O65" s="3">
        <f t="shared" si="23"/>
        <v>-4.0604495511056271E-3</v>
      </c>
      <c r="P65" s="3">
        <f t="shared" si="24"/>
        <v>-1.1007289428139444E-2</v>
      </c>
      <c r="Q65" s="3">
        <f t="shared" si="25"/>
        <v>1.1433686612150495E-2</v>
      </c>
      <c r="R65" s="3">
        <f t="shared" si="26"/>
        <v>5.9954367268870712E-2</v>
      </c>
      <c r="S65" s="3">
        <f t="shared" si="27"/>
        <v>1.1670626570179365E-2</v>
      </c>
      <c r="T65" s="3">
        <f t="shared" si="28"/>
        <v>-5.8471518908964626E-3</v>
      </c>
      <c r="U65" s="3">
        <f t="shared" si="29"/>
        <v>2.4930549469495134E-2</v>
      </c>
      <c r="V65" s="3">
        <f t="shared" si="30"/>
        <v>1.1822471375370291E-2</v>
      </c>
      <c r="W65" s="3">
        <f t="shared" si="31"/>
        <v>1.7442104159805183E-2</v>
      </c>
      <c r="X65" s="3">
        <f t="shared" si="32"/>
        <v>1.1287667670984547E-2</v>
      </c>
      <c r="Z65" s="6" t="s">
        <v>41</v>
      </c>
      <c r="AA65" s="3">
        <v>-0.14645677112819019</v>
      </c>
      <c r="AB65" s="3">
        <v>0.65795555840672304</v>
      </c>
      <c r="AC65" s="3">
        <v>-9.1303776504543951E-2</v>
      </c>
      <c r="AD65" s="3">
        <v>-0.1869049623974349</v>
      </c>
      <c r="AE65" s="3">
        <v>-9.2823873808275836E-2</v>
      </c>
      <c r="AF65" s="3">
        <v>8.9036192175001597E-2</v>
      </c>
      <c r="AG65" s="3">
        <v>-0.16302358161308972</v>
      </c>
      <c r="AH65" s="3">
        <v>-0.45900045374697912</v>
      </c>
      <c r="AI65" s="3">
        <v>-0.49798648412694163</v>
      </c>
      <c r="AJ65" s="3">
        <v>2.4139068723141092E-2</v>
      </c>
      <c r="AL65" s="8"/>
      <c r="AW65" s="3"/>
      <c r="AY65" s="5"/>
      <c r="AZ65" s="28">
        <f t="shared" si="13"/>
        <v>44246</v>
      </c>
      <c r="BA65" s="3">
        <f t="shared" si="14"/>
        <v>60</v>
      </c>
      <c r="BB65" s="3">
        <f t="shared" si="8"/>
        <v>1.1787030754153183</v>
      </c>
      <c r="BC65" s="3">
        <f t="shared" si="9"/>
        <v>1.1535739809290484</v>
      </c>
      <c r="BD65" s="3">
        <f t="shared" si="10"/>
        <v>1.3136472932804262</v>
      </c>
      <c r="BE65" s="3">
        <f t="shared" si="11"/>
        <v>0.89284330966170899</v>
      </c>
      <c r="BG65" s="3">
        <f t="shared" si="12"/>
        <v>-2.4518421767879828E-2</v>
      </c>
      <c r="BH65" s="3">
        <f t="shared" si="33"/>
        <v>-1.6706801650386294E-2</v>
      </c>
      <c r="BI65" s="3">
        <f t="shared" si="34"/>
        <v>-1.9151701965981371E-2</v>
      </c>
      <c r="BJ65" s="3">
        <f t="shared" si="35"/>
        <v>-1.7127980795781636E-2</v>
      </c>
    </row>
    <row r="66" spans="1:62" x14ac:dyDescent="0.3">
      <c r="A66" s="27">
        <v>44251</v>
      </c>
      <c r="B66" s="3">
        <v>233.135986328125</v>
      </c>
      <c r="C66" s="3">
        <v>124.7681350708</v>
      </c>
      <c r="D66" s="3">
        <v>3159.53002929687</v>
      </c>
      <c r="E66" s="3">
        <v>2083.81005859375</v>
      </c>
      <c r="F66" s="3">
        <v>742.02001953125</v>
      </c>
      <c r="G66" s="3">
        <v>2095.169921875</v>
      </c>
      <c r="H66" s="3">
        <v>264.30999755859301</v>
      </c>
      <c r="I66" s="3">
        <v>144.86347961425699</v>
      </c>
      <c r="J66" s="3">
        <v>248.44999694824199</v>
      </c>
      <c r="K66" s="3">
        <v>150.582275390625</v>
      </c>
      <c r="L66" s="3">
        <v>3925.42993164062</v>
      </c>
      <c r="N66" s="3">
        <f t="shared" si="2"/>
        <v>-2.3990420184731853E-2</v>
      </c>
      <c r="O66" s="3">
        <f t="shared" si="23"/>
        <v>-3.5401915482264457E-2</v>
      </c>
      <c r="P66" s="3">
        <f t="shared" si="24"/>
        <v>-3.293693994782565E-2</v>
      </c>
      <c r="Q66" s="3">
        <f t="shared" si="25"/>
        <v>-3.3107452934686421E-2</v>
      </c>
      <c r="R66" s="3">
        <f t="shared" si="26"/>
        <v>-8.4024079776519045E-2</v>
      </c>
      <c r="S66" s="3">
        <f t="shared" si="27"/>
        <v>-3.0929146113908956E-2</v>
      </c>
      <c r="T66" s="3">
        <f t="shared" si="28"/>
        <v>-3.7075518526520135E-2</v>
      </c>
      <c r="U66" s="3">
        <f t="shared" si="29"/>
        <v>-8.5752004613636856E-2</v>
      </c>
      <c r="V66" s="3">
        <f t="shared" si="30"/>
        <v>-1.9344670015678744E-2</v>
      </c>
      <c r="W66" s="3">
        <f t="shared" si="31"/>
        <v>-1.3664726137830208E-2</v>
      </c>
      <c r="X66" s="3">
        <f t="shared" si="32"/>
        <v>-2.4783394424172656E-2</v>
      </c>
      <c r="Z66" s="6" t="s">
        <v>42</v>
      </c>
      <c r="AA66" s="3">
        <v>-8.7521573361630536E-2</v>
      </c>
      <c r="AB66" s="3">
        <v>0.69037105125161202</v>
      </c>
      <c r="AC66" s="3">
        <v>-0.16154629751847444</v>
      </c>
      <c r="AD66" s="3">
        <v>-1.7078805589308285E-2</v>
      </c>
      <c r="AE66" s="3">
        <v>4.4963527698587885E-2</v>
      </c>
      <c r="AF66" s="3">
        <v>-0.13049118811231519</v>
      </c>
      <c r="AG66" s="3">
        <v>0.22403471426683808</v>
      </c>
      <c r="AH66" s="3">
        <v>0.35073290989005823</v>
      </c>
      <c r="AI66" s="3">
        <v>0.54483981102158252</v>
      </c>
      <c r="AJ66" s="3">
        <v>-1.5286529988639811E-2</v>
      </c>
      <c r="AL66" s="8"/>
      <c r="AW66" s="3"/>
      <c r="AY66" s="5"/>
      <c r="AZ66" s="28">
        <f t="shared" si="13"/>
        <v>44249</v>
      </c>
      <c r="BA66" s="3">
        <f t="shared" si="14"/>
        <v>61</v>
      </c>
      <c r="BB66" s="3">
        <f t="shared" si="8"/>
        <v>1.1501545488360019</v>
      </c>
      <c r="BC66" s="3">
        <f t="shared" si="9"/>
        <v>1.1344615476056212</v>
      </c>
      <c r="BD66" s="3">
        <f t="shared" si="10"/>
        <v>1.2887280960172824</v>
      </c>
      <c r="BE66" s="3">
        <f t="shared" si="11"/>
        <v>0.87768092777075024</v>
      </c>
      <c r="BG66" s="3">
        <f t="shared" si="12"/>
        <v>-9.2690403822753842E-4</v>
      </c>
      <c r="BH66" s="3">
        <f t="shared" si="33"/>
        <v>1.0842973639687559E-3</v>
      </c>
      <c r="BI66" s="3">
        <f t="shared" si="34"/>
        <v>-3.2322796649587038E-3</v>
      </c>
      <c r="BJ66" s="3">
        <f t="shared" si="35"/>
        <v>-6.1808229571347351E-3</v>
      </c>
    </row>
    <row r="67" spans="1:62" x14ac:dyDescent="0.3">
      <c r="A67" s="27">
        <v>44252</v>
      </c>
      <c r="B67" s="3">
        <v>227.60951232910099</v>
      </c>
      <c r="C67" s="3">
        <v>120.42837524414</v>
      </c>
      <c r="D67" s="3">
        <v>3057.15991210937</v>
      </c>
      <c r="E67" s="3">
        <v>2015.94995117187</v>
      </c>
      <c r="F67" s="3">
        <v>682.219970703125</v>
      </c>
      <c r="G67" s="3">
        <v>2031.35998535156</v>
      </c>
      <c r="H67" s="3">
        <v>254.69000244140599</v>
      </c>
      <c r="I67" s="3">
        <v>132.95886230468699</v>
      </c>
      <c r="J67" s="3">
        <v>243.69000244140599</v>
      </c>
      <c r="K67" s="3">
        <v>148.53860473632801</v>
      </c>
      <c r="L67" s="3">
        <v>3829.34008789062</v>
      </c>
      <c r="N67" s="3">
        <f t="shared" si="2"/>
        <v>1.4695649073479089E-2</v>
      </c>
      <c r="O67" s="3">
        <f t="shared" si="23"/>
        <v>2.2291558470719508E-3</v>
      </c>
      <c r="P67" s="3">
        <f t="shared" si="24"/>
        <v>1.1632487911604983E-2</v>
      </c>
      <c r="Q67" s="3">
        <f t="shared" si="25"/>
        <v>2.9521020332037295E-3</v>
      </c>
      <c r="R67" s="3">
        <f t="shared" si="26"/>
        <v>-9.8989861269771495E-3</v>
      </c>
      <c r="S67" s="3">
        <f t="shared" si="27"/>
        <v>2.7038869040927338E-3</v>
      </c>
      <c r="T67" s="3">
        <f t="shared" si="28"/>
        <v>1.1438483090673301E-2</v>
      </c>
      <c r="U67" s="3">
        <f t="shared" si="29"/>
        <v>3.0126021858640328E-2</v>
      </c>
      <c r="V67" s="3">
        <f t="shared" si="30"/>
        <v>-1.3135289866146316E-2</v>
      </c>
      <c r="W67" s="3">
        <f t="shared" si="31"/>
        <v>-2.6882823243989939E-2</v>
      </c>
      <c r="X67" s="3">
        <f t="shared" si="32"/>
        <v>-4.761532293796833E-3</v>
      </c>
      <c r="AK67" s="3"/>
      <c r="AL67" s="8"/>
      <c r="AW67" s="3"/>
      <c r="AY67" s="5"/>
      <c r="AZ67" s="28">
        <f t="shared" si="13"/>
        <v>44250</v>
      </c>
      <c r="BA67" s="3">
        <f t="shared" si="14"/>
        <v>62</v>
      </c>
      <c r="BB67" s="3">
        <f t="shared" si="8"/>
        <v>1.1490889598657517</v>
      </c>
      <c r="BC67" s="3">
        <f t="shared" si="9"/>
        <v>1.1356923084059758</v>
      </c>
      <c r="BD67" s="3">
        <f t="shared" si="10"/>
        <v>1.2845692912297419</v>
      </c>
      <c r="BE67" s="3">
        <f t="shared" si="11"/>
        <v>0.87227286769109869</v>
      </c>
      <c r="BG67" s="3">
        <f t="shared" si="12"/>
        <v>1.4166948330633283E-2</v>
      </c>
      <c r="BH67" s="3">
        <f t="shared" si="33"/>
        <v>1.0389649894994163E-2</v>
      </c>
      <c r="BI67" s="3">
        <f t="shared" si="34"/>
        <v>1.574486313168727E-2</v>
      </c>
      <c r="BJ67" s="3">
        <f t="shared" si="35"/>
        <v>1.5971733712391467E-2</v>
      </c>
    </row>
    <row r="68" spans="1:62" x14ac:dyDescent="0.3">
      <c r="A68" s="27">
        <v>44253</v>
      </c>
      <c r="B68" s="3">
        <v>230.979080200195</v>
      </c>
      <c r="C68" s="3">
        <v>120.697128295898</v>
      </c>
      <c r="D68" s="3">
        <v>3092.92993164062</v>
      </c>
      <c r="E68" s="3">
        <v>2021.91003417968</v>
      </c>
      <c r="F68" s="3">
        <v>675.5</v>
      </c>
      <c r="G68" s="3">
        <v>2036.85998535156</v>
      </c>
      <c r="H68" s="3">
        <v>257.61999511718699</v>
      </c>
      <c r="I68" s="3">
        <v>137.02532958984301</v>
      </c>
      <c r="J68" s="3">
        <v>240.509994506835</v>
      </c>
      <c r="K68" s="3">
        <v>144.59866333007801</v>
      </c>
      <c r="L68" s="3">
        <v>3811.14990234375</v>
      </c>
      <c r="N68" s="3">
        <f t="shared" ref="N68:N131" si="49">LN(B69)-LN(B68)</f>
        <v>1.9432945738434348E-2</v>
      </c>
      <c r="O68" s="3">
        <f t="shared" si="23"/>
        <v>5.2451279402262685E-2</v>
      </c>
      <c r="P68" s="3">
        <f t="shared" si="24"/>
        <v>1.7057430859615863E-2</v>
      </c>
      <c r="Q68" s="3">
        <f t="shared" si="25"/>
        <v>2.3341673986068123E-2</v>
      </c>
      <c r="R68" s="3">
        <f t="shared" si="26"/>
        <v>6.1615107986556339E-2</v>
      </c>
      <c r="S68" s="3">
        <f t="shared" si="27"/>
        <v>2.1684197391936166E-2</v>
      </c>
      <c r="T68" s="3">
        <f t="shared" si="28"/>
        <v>2.7904547469463026E-2</v>
      </c>
      <c r="U68" s="3">
        <f t="shared" si="29"/>
        <v>9.2357430171761123E-3</v>
      </c>
      <c r="V68" s="3">
        <f t="shared" si="30"/>
        <v>3.5534295576373331E-2</v>
      </c>
      <c r="W68" s="3">
        <f t="shared" si="31"/>
        <v>2.2374815879186549E-2</v>
      </c>
      <c r="X68" s="3">
        <f t="shared" si="32"/>
        <v>2.3512173225691768E-2</v>
      </c>
      <c r="Z68" s="4" t="s">
        <v>21</v>
      </c>
      <c r="AK68" s="3"/>
      <c r="AL68" s="8"/>
      <c r="AW68" s="3"/>
      <c r="AY68" s="5"/>
      <c r="AZ68" s="28">
        <f t="shared" si="13"/>
        <v>44251</v>
      </c>
      <c r="BA68" s="3">
        <f t="shared" si="14"/>
        <v>63</v>
      </c>
      <c r="BB68" s="3">
        <f t="shared" si="8"/>
        <v>1.1654839027339039</v>
      </c>
      <c r="BC68" s="3">
        <f t="shared" si="9"/>
        <v>1.1475532627665033</v>
      </c>
      <c r="BD68" s="3">
        <f t="shared" si="10"/>
        <v>1.3049547206730845</v>
      </c>
      <c r="BE68" s="3">
        <f t="shared" si="11"/>
        <v>0.88631642913318331</v>
      </c>
      <c r="BG68" s="3">
        <f t="shared" si="12"/>
        <v>-4.0319035830730474E-2</v>
      </c>
      <c r="BH68" s="3">
        <f t="shared" si="33"/>
        <v>-3.3433400155933213E-2</v>
      </c>
      <c r="BI68" s="3">
        <f t="shared" si="34"/>
        <v>-3.994348293968833E-2</v>
      </c>
      <c r="BJ68" s="3">
        <f t="shared" si="35"/>
        <v>-4.2486781196634432E-2</v>
      </c>
    </row>
    <row r="69" spans="1:62" x14ac:dyDescent="0.3">
      <c r="A69" s="27">
        <v>44256</v>
      </c>
      <c r="B69" s="3">
        <v>235.51158142089801</v>
      </c>
      <c r="C69" s="3">
        <v>127.196815490722</v>
      </c>
      <c r="D69" s="3">
        <v>3146.13989257812</v>
      </c>
      <c r="E69" s="3">
        <v>2069.65991210937</v>
      </c>
      <c r="F69" s="3">
        <v>718.42999267578102</v>
      </c>
      <c r="G69" s="3">
        <v>2081.51000976562</v>
      </c>
      <c r="H69" s="3">
        <v>264.91000366210898</v>
      </c>
      <c r="I69" s="3">
        <v>138.29672241210901</v>
      </c>
      <c r="J69" s="3">
        <v>249.21000671386699</v>
      </c>
      <c r="K69" s="3">
        <v>147.87049865722599</v>
      </c>
      <c r="L69" s="3">
        <v>3901.82006835937</v>
      </c>
      <c r="N69" s="3">
        <f t="shared" si="49"/>
        <v>-1.3041565955553835E-2</v>
      </c>
      <c r="O69" s="3">
        <f t="shared" si="23"/>
        <v>-2.1115029468908197E-2</v>
      </c>
      <c r="P69" s="3">
        <f t="shared" si="24"/>
        <v>-1.6540224218434929E-2</v>
      </c>
      <c r="Q69" s="3">
        <f t="shared" si="25"/>
        <v>-2.5059308518402545E-3</v>
      </c>
      <c r="R69" s="3">
        <f t="shared" si="26"/>
        <v>-4.5549440296087873E-2</v>
      </c>
      <c r="S69" s="3">
        <f t="shared" si="27"/>
        <v>-2.727663178339057E-3</v>
      </c>
      <c r="T69" s="3">
        <f t="shared" si="28"/>
        <v>-2.2562097784319057E-2</v>
      </c>
      <c r="U69" s="3">
        <f t="shared" si="29"/>
        <v>-3.1968457361837288E-2</v>
      </c>
      <c r="V69" s="3">
        <f t="shared" si="30"/>
        <v>4.0103953125480984E-5</v>
      </c>
      <c r="W69" s="3">
        <f t="shared" si="31"/>
        <v>-3.2611696111146671E-3</v>
      </c>
      <c r="X69" s="3">
        <f t="shared" si="32"/>
        <v>-8.1136787395070797E-3</v>
      </c>
      <c r="AA69" s="6">
        <f>SUM($AA56:AA56)</f>
        <v>4.6608447513825277</v>
      </c>
      <c r="AB69" s="6">
        <f>SUM($AA56:AB56)</f>
        <v>6.3441105281647161</v>
      </c>
      <c r="AC69" s="6">
        <f>SUM($AA56:AC56)</f>
        <v>7.3025310524065947</v>
      </c>
      <c r="AD69" s="6">
        <f>SUM($AA56:AD56)</f>
        <v>7.9353484884679792</v>
      </c>
      <c r="AE69" s="3">
        <f>SUM($AA56:AE56)</f>
        <v>8.4899514331836468</v>
      </c>
      <c r="AF69" s="3">
        <f>SUM($AA56:AF56)</f>
        <v>9.0094951434086195</v>
      </c>
      <c r="AG69" s="3">
        <f>SUM($AA56:AG56)</f>
        <v>9.4454248410879718</v>
      </c>
      <c r="AH69" s="3">
        <f>SUM($AA56:AH56)</f>
        <v>9.7515597204132405</v>
      </c>
      <c r="AI69" s="3">
        <f>SUM($AA56:AI56)</f>
        <v>9.9783552015977701</v>
      </c>
      <c r="AJ69" s="3">
        <f>SUM($AA56:AJ56)</f>
        <v>10.000000000000002</v>
      </c>
      <c r="AK69" s="3"/>
      <c r="AL69" s="8"/>
      <c r="AW69" s="3"/>
      <c r="AY69" s="5"/>
      <c r="AZ69" s="28">
        <f t="shared" si="13"/>
        <v>44252</v>
      </c>
      <c r="BA69" s="3">
        <f t="shared" si="14"/>
        <v>64</v>
      </c>
      <c r="BB69" s="3">
        <f t="shared" si="8"/>
        <v>1.1194274308125545</v>
      </c>
      <c r="BC69" s="3">
        <f t="shared" si="9"/>
        <v>1.1098209300975816</v>
      </c>
      <c r="BD69" s="3">
        <f t="shared" si="10"/>
        <v>1.2538575765364603</v>
      </c>
      <c r="BE69" s="3">
        <f t="shared" si="11"/>
        <v>0.84944844373354722</v>
      </c>
      <c r="BG69" s="3">
        <f t="shared" si="12"/>
        <v>1.3899267644865154E-3</v>
      </c>
      <c r="BH69" s="3">
        <f t="shared" si="33"/>
        <v>5.7610506901492609E-5</v>
      </c>
      <c r="BI69" s="3">
        <f t="shared" si="34"/>
        <v>-2.7573044167053529E-3</v>
      </c>
      <c r="BJ69" s="3">
        <f t="shared" si="35"/>
        <v>-3.259140565098545E-3</v>
      </c>
    </row>
    <row r="70" spans="1:62" x14ac:dyDescent="0.3">
      <c r="A70" s="27">
        <v>44257</v>
      </c>
      <c r="B70" s="3">
        <v>232.46008300781199</v>
      </c>
      <c r="C70" s="3">
        <v>124.53920745849599</v>
      </c>
      <c r="D70" s="3">
        <v>3094.53002929687</v>
      </c>
      <c r="E70" s="3">
        <v>2064.47998046875</v>
      </c>
      <c r="F70" s="3">
        <v>686.44000244140602</v>
      </c>
      <c r="G70" s="3">
        <v>2075.84008789062</v>
      </c>
      <c r="H70" s="3">
        <v>259</v>
      </c>
      <c r="I70" s="3">
        <v>133.94551086425699</v>
      </c>
      <c r="J70" s="3">
        <v>249.22000122070301</v>
      </c>
      <c r="K70" s="3">
        <v>147.38905334472599</v>
      </c>
      <c r="L70" s="3">
        <v>3870.2900390625</v>
      </c>
      <c r="N70" s="3">
        <f t="shared" si="49"/>
        <v>-2.7351457086960629E-2</v>
      </c>
      <c r="O70" s="3">
        <f t="shared" si="23"/>
        <v>-2.4760515040044062E-2</v>
      </c>
      <c r="P70" s="3">
        <f t="shared" si="24"/>
        <v>-2.9358478249911002E-2</v>
      </c>
      <c r="Q70" s="3">
        <f t="shared" si="25"/>
        <v>-2.6042383590475282E-2</v>
      </c>
      <c r="R70" s="3">
        <f t="shared" si="26"/>
        <v>-4.963544530636721E-2</v>
      </c>
      <c r="S70" s="3">
        <f t="shared" si="27"/>
        <v>-2.3952163995855535E-2</v>
      </c>
      <c r="T70" s="3">
        <f t="shared" si="28"/>
        <v>-1.3957950261633378E-2</v>
      </c>
      <c r="U70" s="3">
        <f t="shared" si="29"/>
        <v>-4.5904815079830463E-2</v>
      </c>
      <c r="V70" s="3">
        <f t="shared" si="30"/>
        <v>9.3057436563226403E-3</v>
      </c>
      <c r="W70" s="3">
        <f t="shared" si="31"/>
        <v>1.9147574276122903E-2</v>
      </c>
      <c r="X70" s="3">
        <f t="shared" si="32"/>
        <v>-1.3152335894801581E-2</v>
      </c>
      <c r="AA70" s="4" t="s">
        <v>22</v>
      </c>
      <c r="AK70" s="3"/>
      <c r="AL70" s="8"/>
      <c r="AW70" s="3"/>
      <c r="AY70" s="5"/>
      <c r="AZ70" s="28">
        <f t="shared" si="13"/>
        <v>44253</v>
      </c>
      <c r="BA70" s="3">
        <f t="shared" si="14"/>
        <v>65</v>
      </c>
      <c r="BB70" s="3">
        <f t="shared" ref="BB70:BB133" si="50">SUMPRODUCT($AM$5:$AV$5,B68:K68)</f>
        <v>1.1209844347696132</v>
      </c>
      <c r="BC70" s="3">
        <f t="shared" ref="BC70:BC133" si="51">SUMPRODUCT($AM$13:$AV$13,B68:K68)</f>
        <v>1.1098848692857013</v>
      </c>
      <c r="BD70" s="3">
        <f t="shared" ref="BD70:BD133" si="52">SUMPRODUCT($AM$30:$AV$30,B68:K68)</f>
        <v>1.2504050714938293</v>
      </c>
      <c r="BE70" s="3">
        <f t="shared" ref="BE70:BE133" si="53">SUMPRODUCT($AM$41:$AV$41,B68:K68)</f>
        <v>0.84668447837499461</v>
      </c>
      <c r="BG70" s="3">
        <f t="shared" ref="BG70:BG133" si="54">LN(BB71)-LN(BB70)</f>
        <v>2.986145417102716E-2</v>
      </c>
      <c r="BH70" s="3">
        <f t="shared" si="33"/>
        <v>2.8291053198401625E-2</v>
      </c>
      <c r="BI70" s="3">
        <f t="shared" si="34"/>
        <v>3.0483683580219162E-2</v>
      </c>
      <c r="BJ70" s="3">
        <f t="shared" si="35"/>
        <v>3.0196226134535875E-2</v>
      </c>
    </row>
    <row r="71" spans="1:62" x14ac:dyDescent="0.3">
      <c r="A71" s="27">
        <v>44258</v>
      </c>
      <c r="B71" s="3">
        <v>226.18812561035099</v>
      </c>
      <c r="C71" s="3">
        <v>121.49341583251901</v>
      </c>
      <c r="D71" s="3">
        <v>3005</v>
      </c>
      <c r="E71" s="3">
        <v>2011.41003417968</v>
      </c>
      <c r="F71" s="3">
        <v>653.20001220703102</v>
      </c>
      <c r="G71" s="3">
        <v>2026.7099609375</v>
      </c>
      <c r="H71" s="3">
        <v>255.41000366210901</v>
      </c>
      <c r="I71" s="3">
        <v>127.93576049804599</v>
      </c>
      <c r="J71" s="3">
        <v>251.55000305175699</v>
      </c>
      <c r="K71" s="3">
        <v>150.23838806152301</v>
      </c>
      <c r="L71" s="3">
        <v>3819.71997070312</v>
      </c>
      <c r="N71" s="3">
        <f t="shared" si="49"/>
        <v>-3.6540607888628784E-3</v>
      </c>
      <c r="O71" s="3">
        <f t="shared" si="23"/>
        <v>-1.5938255496010356E-2</v>
      </c>
      <c r="P71" s="3">
        <f t="shared" si="24"/>
        <v>-9.1700134023415814E-3</v>
      </c>
      <c r="Q71" s="3">
        <f t="shared" si="25"/>
        <v>1.1133922825394826E-2</v>
      </c>
      <c r="R71" s="3">
        <f t="shared" si="26"/>
        <v>-4.9844010192822807E-2</v>
      </c>
      <c r="S71" s="3">
        <f t="shared" si="27"/>
        <v>1.0982065663467822E-2</v>
      </c>
      <c r="T71" s="3">
        <f t="shared" si="28"/>
        <v>8.6932070970062725E-3</v>
      </c>
      <c r="U71" s="3">
        <f t="shared" si="29"/>
        <v>-3.4521869569827501E-2</v>
      </c>
      <c r="V71" s="3">
        <f t="shared" si="30"/>
        <v>-2.4426328952759313E-2</v>
      </c>
      <c r="W71" s="3">
        <f t="shared" si="31"/>
        <v>-1.5487860280399168E-2</v>
      </c>
      <c r="X71" s="3">
        <f t="shared" si="32"/>
        <v>-1.3508038064390604E-2</v>
      </c>
      <c r="AK71" s="3"/>
      <c r="AL71" s="8"/>
      <c r="AW71" s="3"/>
      <c r="AY71" s="5"/>
      <c r="AZ71" s="28">
        <f t="shared" ref="AZ71:AZ134" si="55">A69</f>
        <v>44256</v>
      </c>
      <c r="BA71" s="3">
        <f t="shared" ref="BA71:BA134" si="56">BA70+1</f>
        <v>66</v>
      </c>
      <c r="BB71" s="3">
        <f t="shared" si="50"/>
        <v>1.1549634668434781</v>
      </c>
      <c r="BC71" s="3">
        <f t="shared" si="51"/>
        <v>1.1417330664842398</v>
      </c>
      <c r="BD71" s="3">
        <f t="shared" si="52"/>
        <v>1.2891089452601392</v>
      </c>
      <c r="BE71" s="3">
        <f t="shared" si="53"/>
        <v>0.87264107775581601</v>
      </c>
      <c r="BG71" s="3">
        <f t="shared" si="54"/>
        <v>-1.615657306005594E-2</v>
      </c>
      <c r="BH71" s="3">
        <f t="shared" si="33"/>
        <v>-1.2069442401458463E-2</v>
      </c>
      <c r="BI71" s="3">
        <f t="shared" si="34"/>
        <v>-1.6621047504340153E-2</v>
      </c>
      <c r="BJ71" s="3">
        <f t="shared" si="35"/>
        <v>-1.9057311140200539E-2</v>
      </c>
    </row>
    <row r="72" spans="1:62" x14ac:dyDescent="0.3">
      <c r="A72" s="27">
        <v>44259</v>
      </c>
      <c r="B72" s="3">
        <v>225.36312866210901</v>
      </c>
      <c r="C72" s="3">
        <v>119.572372436523</v>
      </c>
      <c r="D72" s="3">
        <v>2977.57006835937</v>
      </c>
      <c r="E72" s="3">
        <v>2033.93005371093</v>
      </c>
      <c r="F72" s="3">
        <v>621.44000244140602</v>
      </c>
      <c r="G72" s="3">
        <v>2049.09008789062</v>
      </c>
      <c r="H72" s="3">
        <v>257.64001464843699</v>
      </c>
      <c r="I72" s="3">
        <v>123.59454345703099</v>
      </c>
      <c r="J72" s="3">
        <v>245.47999572753901</v>
      </c>
      <c r="K72" s="3">
        <v>147.929443359375</v>
      </c>
      <c r="L72" s="3">
        <v>3768.46997070312</v>
      </c>
      <c r="N72" s="3">
        <f t="shared" si="49"/>
        <v>2.1251915132618926E-2</v>
      </c>
      <c r="O72" s="3">
        <f t="shared" si="23"/>
        <v>1.068111872883204E-2</v>
      </c>
      <c r="P72" s="3">
        <f t="shared" si="24"/>
        <v>7.6580426434240678E-3</v>
      </c>
      <c r="Q72" s="3">
        <f t="shared" si="25"/>
        <v>3.057125648501291E-2</v>
      </c>
      <c r="R72" s="3">
        <f t="shared" si="26"/>
        <v>-3.853221076191371E-2</v>
      </c>
      <c r="S72" s="3">
        <f t="shared" si="27"/>
        <v>2.8599948332780123E-2</v>
      </c>
      <c r="T72" s="3">
        <f t="shared" si="28"/>
        <v>2.5445824007794826E-2</v>
      </c>
      <c r="U72" s="3">
        <f t="shared" si="29"/>
        <v>7.3495672083945252E-3</v>
      </c>
      <c r="V72" s="3">
        <f t="shared" si="30"/>
        <v>3.076671418926491E-2</v>
      </c>
      <c r="W72" s="3">
        <f t="shared" si="31"/>
        <v>2.3220763263100963E-3</v>
      </c>
      <c r="X72" s="3">
        <f t="shared" si="32"/>
        <v>1.9308356338710198E-2</v>
      </c>
      <c r="AK72" s="3"/>
      <c r="AL72" s="8"/>
      <c r="AW72" s="3"/>
      <c r="AY72" s="5"/>
      <c r="AZ72" s="28">
        <f t="shared" si="55"/>
        <v>44257</v>
      </c>
      <c r="BA72" s="3">
        <f t="shared" si="56"/>
        <v>67</v>
      </c>
      <c r="BB72" s="3">
        <f t="shared" si="50"/>
        <v>1.136453149508333</v>
      </c>
      <c r="BC72" s="3">
        <f t="shared" si="51"/>
        <v>1.1280358103966854</v>
      </c>
      <c r="BD72" s="3">
        <f t="shared" si="52"/>
        <v>1.2678596859070033</v>
      </c>
      <c r="BE72" s="3">
        <f t="shared" si="53"/>
        <v>0.85616834674907272</v>
      </c>
      <c r="BG72" s="3">
        <f t="shared" si="54"/>
        <v>-2.0917102139147589E-2</v>
      </c>
      <c r="BH72" s="3">
        <f t="shared" si="33"/>
        <v>-1.5916521308287163E-2</v>
      </c>
      <c r="BI72" s="3">
        <f t="shared" si="34"/>
        <v>-1.2564803209519887E-2</v>
      </c>
      <c r="BJ72" s="3">
        <f t="shared" si="35"/>
        <v>-8.5317120941384439E-3</v>
      </c>
    </row>
    <row r="73" spans="1:62" x14ac:dyDescent="0.3">
      <c r="A73" s="27">
        <v>44260</v>
      </c>
      <c r="B73" s="3">
        <v>230.20378112792901</v>
      </c>
      <c r="C73" s="3">
        <v>120.856384277343</v>
      </c>
      <c r="D73" s="3">
        <v>3000.4599609375</v>
      </c>
      <c r="E73" s="3">
        <v>2097.07006835937</v>
      </c>
      <c r="F73" s="3">
        <v>597.95001220703102</v>
      </c>
      <c r="G73" s="3">
        <v>2108.5400390625</v>
      </c>
      <c r="H73" s="3">
        <v>264.27999877929602</v>
      </c>
      <c r="I73" s="3">
        <v>124.506256103515</v>
      </c>
      <c r="J73" s="3">
        <v>253.14999389648401</v>
      </c>
      <c r="K73" s="3">
        <v>148.273345947265</v>
      </c>
      <c r="L73" s="3">
        <v>3841.93994140625</v>
      </c>
      <c r="N73" s="3">
        <f t="shared" si="49"/>
        <v>-1.8345124821898651E-2</v>
      </c>
      <c r="O73" s="3">
        <f t="shared" si="23"/>
        <v>-4.2566794542706177E-2</v>
      </c>
      <c r="P73" s="3">
        <f t="shared" si="24"/>
        <v>-1.6299644843821959E-2</v>
      </c>
      <c r="Q73" s="3">
        <f t="shared" si="25"/>
        <v>-4.3650998141936626E-2</v>
      </c>
      <c r="R73" s="3">
        <f t="shared" si="26"/>
        <v>-6.0227530689927811E-2</v>
      </c>
      <c r="S73" s="3">
        <f t="shared" si="27"/>
        <v>-4.0836021679502288E-2</v>
      </c>
      <c r="T73" s="3">
        <f t="shared" si="28"/>
        <v>-3.4530659020508558E-2</v>
      </c>
      <c r="U73" s="3">
        <f t="shared" si="29"/>
        <v>-7.2220823028859016E-2</v>
      </c>
      <c r="V73" s="3">
        <f t="shared" si="30"/>
        <v>1.7464582184010702E-2</v>
      </c>
      <c r="W73" s="3">
        <f t="shared" si="31"/>
        <v>1.3165783954089072E-2</v>
      </c>
      <c r="X73" s="3">
        <f t="shared" si="32"/>
        <v>-5.3736432240256704E-3</v>
      </c>
      <c r="AK73" s="3"/>
      <c r="AL73" s="8"/>
      <c r="AW73" s="3"/>
      <c r="AY73" s="5"/>
      <c r="AZ73" s="28">
        <f t="shared" si="55"/>
        <v>44258</v>
      </c>
      <c r="BA73" s="3">
        <f t="shared" si="56"/>
        <v>68</v>
      </c>
      <c r="BB73" s="3">
        <f t="shared" si="50"/>
        <v>1.112928731930461</v>
      </c>
      <c r="BC73" s="3">
        <f t="shared" si="51"/>
        <v>1.1102235351520098</v>
      </c>
      <c r="BD73" s="3">
        <f t="shared" si="52"/>
        <v>1.252028941820083</v>
      </c>
      <c r="BE73" s="3">
        <f t="shared" si="53"/>
        <v>0.84889483677690647</v>
      </c>
      <c r="BG73" s="3">
        <f t="shared" si="54"/>
        <v>-1.2719980084288166E-2</v>
      </c>
      <c r="BH73" s="3">
        <f t="shared" si="33"/>
        <v>-1.0167612691833486E-2</v>
      </c>
      <c r="BI73" s="3">
        <f t="shared" si="34"/>
        <v>-2.5169807071261679E-2</v>
      </c>
      <c r="BJ73" s="3">
        <f t="shared" si="35"/>
        <v>-3.7451521437801366E-2</v>
      </c>
    </row>
    <row r="74" spans="1:62" x14ac:dyDescent="0.3">
      <c r="A74" s="27">
        <v>44263</v>
      </c>
      <c r="B74" s="3">
        <v>226.01916503906199</v>
      </c>
      <c r="C74" s="3">
        <v>115.819869995117</v>
      </c>
      <c r="D74" s="3">
        <v>2951.94995117187</v>
      </c>
      <c r="E74" s="3">
        <v>2007.5</v>
      </c>
      <c r="F74" s="3">
        <v>563</v>
      </c>
      <c r="G74" s="3">
        <v>2024.17004394531</v>
      </c>
      <c r="H74" s="3">
        <v>255.30999755859301</v>
      </c>
      <c r="I74" s="3">
        <v>115.831336975097</v>
      </c>
      <c r="J74" s="3">
        <v>257.60998535156199</v>
      </c>
      <c r="K74" s="3">
        <v>150.23838806152301</v>
      </c>
      <c r="L74" s="3">
        <v>3821.35009765625</v>
      </c>
      <c r="N74" s="3">
        <f t="shared" si="49"/>
        <v>2.771380341676899E-2</v>
      </c>
      <c r="O74" s="3">
        <f t="shared" si="23"/>
        <v>3.9845254449341283E-2</v>
      </c>
      <c r="P74" s="3">
        <f t="shared" si="24"/>
        <v>3.6879934554696625E-2</v>
      </c>
      <c r="Q74" s="3">
        <f t="shared" si="25"/>
        <v>1.6236088857136899E-2</v>
      </c>
      <c r="R74" s="3">
        <f t="shared" si="26"/>
        <v>0.17932716850789188</v>
      </c>
      <c r="S74" s="3">
        <f t="shared" si="27"/>
        <v>1.3996214250497019E-2</v>
      </c>
      <c r="T74" s="3">
        <f t="shared" si="28"/>
        <v>4.0039866892168874E-2</v>
      </c>
      <c r="U74" s="3">
        <f t="shared" si="29"/>
        <v>7.7269370379470459E-2</v>
      </c>
      <c r="V74" s="3">
        <f t="shared" si="30"/>
        <v>5.4584798908026144E-3</v>
      </c>
      <c r="W74" s="3">
        <f t="shared" si="31"/>
        <v>-7.0880139607636394E-3</v>
      </c>
      <c r="X74" s="3">
        <f t="shared" si="32"/>
        <v>1.4055400743931301E-2</v>
      </c>
      <c r="AK74" s="3"/>
      <c r="AL74" s="8"/>
      <c r="AW74" s="3"/>
      <c r="AY74" s="5"/>
      <c r="AZ74" s="28">
        <f t="shared" si="55"/>
        <v>44259</v>
      </c>
      <c r="BA74" s="3">
        <f t="shared" si="56"/>
        <v>69</v>
      </c>
      <c r="BB74" s="3">
        <f t="shared" si="50"/>
        <v>1.0988619548512855</v>
      </c>
      <c r="BC74" s="3">
        <f t="shared" si="51"/>
        <v>1.0989924058877887</v>
      </c>
      <c r="BD74" s="3">
        <f t="shared" si="52"/>
        <v>1.2209089005356848</v>
      </c>
      <c r="BE74" s="3">
        <f t="shared" si="53"/>
        <v>0.81769040750998356</v>
      </c>
      <c r="BG74" s="3">
        <f t="shared" si="54"/>
        <v>1.1991593987999608E-2</v>
      </c>
      <c r="BH74" s="3">
        <f t="shared" si="33"/>
        <v>1.6540932699958766E-2</v>
      </c>
      <c r="BI74" s="3">
        <f t="shared" si="34"/>
        <v>7.2465266799613681E-3</v>
      </c>
      <c r="BJ74" s="3">
        <f t="shared" si="35"/>
        <v>1.9275211227171851E-3</v>
      </c>
    </row>
    <row r="75" spans="1:62" x14ac:dyDescent="0.3">
      <c r="A75" s="27">
        <v>44264</v>
      </c>
      <c r="B75" s="3">
        <v>232.37062072753901</v>
      </c>
      <c r="C75" s="3">
        <v>120.52791595458901</v>
      </c>
      <c r="D75" s="3">
        <v>3062.85009765625</v>
      </c>
      <c r="E75" s="3">
        <v>2040.35998535156</v>
      </c>
      <c r="F75" s="3">
        <v>673.58001708984295</v>
      </c>
      <c r="G75" s="3">
        <v>2052.69995117187</v>
      </c>
      <c r="H75" s="3">
        <v>265.739990234375</v>
      </c>
      <c r="I75" s="3">
        <v>125.136421203613</v>
      </c>
      <c r="J75" s="3">
        <v>259.01998901367102</v>
      </c>
      <c r="K75" s="3">
        <v>149.17726135253901</v>
      </c>
      <c r="L75" s="3">
        <v>3875.43994140625</v>
      </c>
      <c r="N75" s="3">
        <f t="shared" si="49"/>
        <v>-5.834380632538938E-3</v>
      </c>
      <c r="O75" s="3">
        <f t="shared" si="23"/>
        <v>-9.2089718265890852E-3</v>
      </c>
      <c r="P75" s="3">
        <f t="shared" si="24"/>
        <v>-1.7025454971726361E-3</v>
      </c>
      <c r="Q75" s="3">
        <f t="shared" si="25"/>
        <v>-2.0458699021164151E-3</v>
      </c>
      <c r="R75" s="3">
        <f t="shared" si="26"/>
        <v>-8.2288104397347794E-3</v>
      </c>
      <c r="S75" s="3">
        <f t="shared" si="27"/>
        <v>1.1344846842371581E-3</v>
      </c>
      <c r="T75" s="3">
        <f t="shared" si="28"/>
        <v>-3.1659771771721523E-3</v>
      </c>
      <c r="U75" s="3">
        <f t="shared" si="29"/>
        <v>-4.1618306019239881E-3</v>
      </c>
      <c r="V75" s="3">
        <f t="shared" si="30"/>
        <v>1.9005950268155658E-2</v>
      </c>
      <c r="W75" s="3">
        <f t="shared" si="31"/>
        <v>2.1501981005767057E-2</v>
      </c>
      <c r="X75" s="3">
        <f t="shared" si="32"/>
        <v>6.0122037709877674E-3</v>
      </c>
      <c r="AK75" s="3"/>
      <c r="AL75" s="8"/>
      <c r="AW75" s="3"/>
      <c r="AY75" s="5"/>
      <c r="AZ75" s="28">
        <f t="shared" si="55"/>
        <v>44260</v>
      </c>
      <c r="BA75" s="3">
        <f t="shared" si="56"/>
        <v>70</v>
      </c>
      <c r="BB75" s="3">
        <f t="shared" si="50"/>
        <v>1.1121183852744088</v>
      </c>
      <c r="BC75" s="3">
        <f t="shared" si="51"/>
        <v>1.1173219412011153</v>
      </c>
      <c r="BD75" s="3">
        <f t="shared" si="52"/>
        <v>1.2297883833049219</v>
      </c>
      <c r="BE75" s="3">
        <f t="shared" si="53"/>
        <v>0.81926804301672984</v>
      </c>
      <c r="BG75" s="3">
        <f t="shared" si="54"/>
        <v>-2.8518602419684638E-2</v>
      </c>
      <c r="BH75" s="3">
        <f t="shared" si="33"/>
        <v>-2.1368838159940978E-2</v>
      </c>
      <c r="BI75" s="3">
        <f t="shared" si="34"/>
        <v>-1.543030266145079E-2</v>
      </c>
      <c r="BJ75" s="3">
        <f t="shared" si="35"/>
        <v>-6.9127192799262882E-3</v>
      </c>
    </row>
    <row r="76" spans="1:62" x14ac:dyDescent="0.3">
      <c r="A76" s="27">
        <v>44265</v>
      </c>
      <c r="B76" s="3">
        <v>231.01882934570301</v>
      </c>
      <c r="C76" s="3">
        <v>119.42307281494099</v>
      </c>
      <c r="D76" s="3">
        <v>3057.63989257812</v>
      </c>
      <c r="E76" s="3">
        <v>2036.18994140625</v>
      </c>
      <c r="F76" s="3">
        <v>668.05999755859295</v>
      </c>
      <c r="G76" s="3">
        <v>2055.03002929687</v>
      </c>
      <c r="H76" s="3">
        <v>264.89999389648398</v>
      </c>
      <c r="I76" s="3">
        <v>124.61670684814401</v>
      </c>
      <c r="J76" s="3">
        <v>263.989990234375</v>
      </c>
      <c r="K76" s="3">
        <v>152.41960144042901</v>
      </c>
      <c r="L76" s="3">
        <v>3898.81005859375</v>
      </c>
      <c r="N76" s="3">
        <f t="shared" si="49"/>
        <v>2.0062454881029979E-2</v>
      </c>
      <c r="O76" s="3">
        <f t="shared" si="23"/>
        <v>1.6368003364147121E-2</v>
      </c>
      <c r="P76" s="3">
        <f t="shared" si="24"/>
        <v>1.8133088074160142E-2</v>
      </c>
      <c r="Q76" s="3">
        <f t="shared" si="25"/>
        <v>3.1114087333570239E-2</v>
      </c>
      <c r="R76" s="3">
        <f t="shared" si="26"/>
        <v>4.6130722039424477E-2</v>
      </c>
      <c r="S76" s="3">
        <f t="shared" si="27"/>
        <v>2.8655608137611033E-2</v>
      </c>
      <c r="T76" s="3">
        <f t="shared" si="28"/>
        <v>3.3337698843958208E-2</v>
      </c>
      <c r="U76" s="3">
        <f t="shared" si="29"/>
        <v>4.1263855109311187E-2</v>
      </c>
      <c r="V76" s="3">
        <f t="shared" si="30"/>
        <v>-1.1735652342919956E-2</v>
      </c>
      <c r="W76" s="3">
        <f t="shared" si="31"/>
        <v>-5.2351382011570635E-3</v>
      </c>
      <c r="X76" s="3">
        <f t="shared" si="32"/>
        <v>1.0341825500656654E-2</v>
      </c>
      <c r="AK76" s="3"/>
      <c r="AL76" s="8"/>
      <c r="AW76" s="3"/>
      <c r="AY76" s="5"/>
      <c r="AZ76" s="28">
        <f t="shared" si="55"/>
        <v>44263</v>
      </c>
      <c r="BA76" s="3">
        <f t="shared" si="56"/>
        <v>71</v>
      </c>
      <c r="BB76" s="3">
        <f t="shared" si="50"/>
        <v>1.0808503033923196</v>
      </c>
      <c r="BC76" s="3">
        <f t="shared" si="51"/>
        <v>1.0936993618900801</v>
      </c>
      <c r="BD76" s="3">
        <f t="shared" si="52"/>
        <v>1.2109580289892401</v>
      </c>
      <c r="BE76" s="3">
        <f t="shared" si="53"/>
        <v>0.81362420263699187</v>
      </c>
      <c r="BG76" s="3">
        <f t="shared" si="54"/>
        <v>4.2948108250913469E-2</v>
      </c>
      <c r="BH76" s="3">
        <f t="shared" si="33"/>
        <v>2.9523146553278132E-2</v>
      </c>
      <c r="BI76" s="3">
        <f t="shared" si="34"/>
        <v>3.8737068623156734E-2</v>
      </c>
      <c r="BJ76" s="3">
        <f t="shared" si="35"/>
        <v>3.9142922492427346E-2</v>
      </c>
    </row>
    <row r="77" spans="1:62" x14ac:dyDescent="0.3">
      <c r="A77" s="27">
        <v>44266</v>
      </c>
      <c r="B77" s="3">
        <v>235.700439453125</v>
      </c>
      <c r="C77" s="3">
        <v>121.39387512207</v>
      </c>
      <c r="D77" s="3">
        <v>3113.59008789062</v>
      </c>
      <c r="E77" s="3">
        <v>2100.5400390625</v>
      </c>
      <c r="F77" s="3">
        <v>699.59997558593705</v>
      </c>
      <c r="G77" s="3">
        <v>2114.77001953125</v>
      </c>
      <c r="H77" s="3">
        <v>273.88000488281199</v>
      </c>
      <c r="I77" s="3">
        <v>129.866439819335</v>
      </c>
      <c r="J77" s="3">
        <v>260.91000366210898</v>
      </c>
      <c r="K77" s="3">
        <v>151.62374877929599</v>
      </c>
      <c r="L77" s="3">
        <v>3939.34008789062</v>
      </c>
      <c r="N77" s="3">
        <f t="shared" si="49"/>
        <v>-5.8366278766994739E-3</v>
      </c>
      <c r="O77" s="3">
        <f t="shared" si="23"/>
        <v>-7.654665279183348E-3</v>
      </c>
      <c r="P77" s="3">
        <f t="shared" si="24"/>
        <v>-7.7704039330797059E-3</v>
      </c>
      <c r="Q77" s="3">
        <f t="shared" si="25"/>
        <v>-2.4354679977053983E-2</v>
      </c>
      <c r="R77" s="3">
        <f t="shared" si="26"/>
        <v>-8.4259005849807167E-3</v>
      </c>
      <c r="S77" s="3">
        <f t="shared" si="27"/>
        <v>-2.5308519107072769E-2</v>
      </c>
      <c r="T77" s="3">
        <f t="shared" si="28"/>
        <v>-2.0211689723997672E-2</v>
      </c>
      <c r="U77" s="3">
        <f t="shared" si="29"/>
        <v>-1.0638669011413526E-2</v>
      </c>
      <c r="V77" s="3">
        <f t="shared" si="30"/>
        <v>-3.4170254235323938E-3</v>
      </c>
      <c r="W77" s="3">
        <f t="shared" si="31"/>
        <v>1.178866845822224E-2</v>
      </c>
      <c r="X77" s="3">
        <f t="shared" si="32"/>
        <v>1.0148833275298585E-3</v>
      </c>
      <c r="AK77" s="3"/>
      <c r="AL77" s="8"/>
      <c r="AW77" s="3"/>
      <c r="AY77" s="5"/>
      <c r="AZ77" s="28">
        <f t="shared" si="55"/>
        <v>44264</v>
      </c>
      <c r="BA77" s="3">
        <f t="shared" si="56"/>
        <v>72</v>
      </c>
      <c r="BB77" s="3">
        <f t="shared" si="50"/>
        <v>1.1282820403243696</v>
      </c>
      <c r="BC77" s="3">
        <f t="shared" si="51"/>
        <v>1.1264701769612464</v>
      </c>
      <c r="BD77" s="3">
        <f t="shared" si="52"/>
        <v>1.2587873972630377</v>
      </c>
      <c r="BE77" s="3">
        <f t="shared" si="53"/>
        <v>0.84610334924366737</v>
      </c>
      <c r="BG77" s="3">
        <f t="shared" si="54"/>
        <v>1.2260310514311673E-3</v>
      </c>
      <c r="BH77" s="3">
        <f t="shared" si="33"/>
        <v>3.3765889092501056E-3</v>
      </c>
      <c r="BI77" s="3">
        <f t="shared" si="34"/>
        <v>6.7791065346273216E-3</v>
      </c>
      <c r="BJ77" s="3">
        <f t="shared" si="35"/>
        <v>1.0037891906403834E-2</v>
      </c>
    </row>
    <row r="78" spans="1:62" x14ac:dyDescent="0.3">
      <c r="A78" s="27">
        <v>44267</v>
      </c>
      <c r="B78" s="3">
        <v>234.32875061035099</v>
      </c>
      <c r="C78" s="3">
        <v>120.46819305419901</v>
      </c>
      <c r="D78" s="3">
        <v>3089.48999023437</v>
      </c>
      <c r="E78" s="3">
        <v>2050</v>
      </c>
      <c r="F78" s="3">
        <v>693.72998046875</v>
      </c>
      <c r="G78" s="3">
        <v>2061.919921875</v>
      </c>
      <c r="H78" s="3">
        <v>268.39999389648398</v>
      </c>
      <c r="I78" s="3">
        <v>128.49215698242099</v>
      </c>
      <c r="J78" s="3">
        <v>260.01998901367102</v>
      </c>
      <c r="K78" s="3">
        <v>153.42176818847599</v>
      </c>
      <c r="L78" s="3">
        <v>3943.34008789062</v>
      </c>
      <c r="N78" s="3">
        <f t="shared" si="49"/>
        <v>-3.9952807722150041E-3</v>
      </c>
      <c r="O78" s="3">
        <f t="shared" si="23"/>
        <v>2.4162518226631846E-2</v>
      </c>
      <c r="P78" s="3">
        <f t="shared" si="24"/>
        <v>-2.5311449408604858E-3</v>
      </c>
      <c r="Q78" s="3">
        <f t="shared" si="25"/>
        <v>2.163483058081006E-3</v>
      </c>
      <c r="R78" s="3">
        <f t="shared" si="26"/>
        <v>2.0276540126197062E-2</v>
      </c>
      <c r="S78" s="3">
        <f t="shared" si="27"/>
        <v>2.2139614638048144E-3</v>
      </c>
      <c r="T78" s="3">
        <f t="shared" si="28"/>
        <v>1.9736898773556888E-2</v>
      </c>
      <c r="U78" s="3">
        <f t="shared" si="29"/>
        <v>2.5743160889892813E-2</v>
      </c>
      <c r="V78" s="3">
        <f t="shared" si="30"/>
        <v>-2.1025543835265559E-2</v>
      </c>
      <c r="W78" s="3">
        <f t="shared" si="31"/>
        <v>-5.0077194453317375E-3</v>
      </c>
      <c r="X78" s="3">
        <f t="shared" si="32"/>
        <v>6.4709395394153546E-3</v>
      </c>
      <c r="AK78" s="3"/>
      <c r="AL78" s="8"/>
      <c r="AW78" s="3"/>
      <c r="AY78" s="5"/>
      <c r="AZ78" s="28">
        <f t="shared" si="55"/>
        <v>44265</v>
      </c>
      <c r="BA78" s="3">
        <f t="shared" si="56"/>
        <v>73</v>
      </c>
      <c r="BB78" s="3">
        <f t="shared" si="50"/>
        <v>1.1296661974770208</v>
      </c>
      <c r="BC78" s="3">
        <f t="shared" si="51"/>
        <v>1.1302802325431038</v>
      </c>
      <c r="BD78" s="3">
        <f t="shared" si="52"/>
        <v>1.2673498412018744</v>
      </c>
      <c r="BE78" s="3">
        <f t="shared" si="53"/>
        <v>0.85463921256955588</v>
      </c>
      <c r="BG78" s="3">
        <f t="shared" si="54"/>
        <v>2.1536118864121559E-2</v>
      </c>
      <c r="BH78" s="3">
        <f t="shared" si="33"/>
        <v>1.6552424741622163E-2</v>
      </c>
      <c r="BI78" s="3">
        <f t="shared" si="34"/>
        <v>1.0397155269946584E-2</v>
      </c>
      <c r="BJ78" s="3">
        <f t="shared" si="35"/>
        <v>2.2385906569086234E-3</v>
      </c>
    </row>
    <row r="79" spans="1:62" x14ac:dyDescent="0.3">
      <c r="A79" s="27">
        <v>44270</v>
      </c>
      <c r="B79" s="3">
        <v>233.39440917968699</v>
      </c>
      <c r="C79" s="3">
        <v>123.414459228515</v>
      </c>
      <c r="D79" s="3">
        <v>3081.67993164062</v>
      </c>
      <c r="E79" s="3">
        <v>2054.43994140625</v>
      </c>
      <c r="F79" s="3">
        <v>707.94000244140602</v>
      </c>
      <c r="G79" s="3">
        <v>2066.48999023437</v>
      </c>
      <c r="H79" s="3">
        <v>273.75</v>
      </c>
      <c r="I79" s="3">
        <v>131.84289550781199</v>
      </c>
      <c r="J79" s="3">
        <v>254.61000061035099</v>
      </c>
      <c r="K79" s="3">
        <v>152.65539550781199</v>
      </c>
      <c r="L79" s="3">
        <v>3968.93994140625</v>
      </c>
      <c r="N79" s="3">
        <f t="shared" si="49"/>
        <v>1.2274855584915478E-2</v>
      </c>
      <c r="O79" s="3">
        <f t="shared" si="23"/>
        <v>1.26623653515745E-2</v>
      </c>
      <c r="P79" s="3">
        <f t="shared" si="24"/>
        <v>3.2980056642326616E-3</v>
      </c>
      <c r="Q79" s="3">
        <f t="shared" si="25"/>
        <v>1.4233011631510806E-2</v>
      </c>
      <c r="R79" s="3">
        <f t="shared" si="26"/>
        <v>-4.4865335958538921E-2</v>
      </c>
      <c r="S79" s="3">
        <f t="shared" si="27"/>
        <v>1.2517579482394403E-2</v>
      </c>
      <c r="T79" s="3">
        <f t="shared" si="28"/>
        <v>1.9999577295173765E-2</v>
      </c>
      <c r="U79" s="3">
        <f t="shared" si="29"/>
        <v>7.5521447944213449E-3</v>
      </c>
      <c r="V79" s="3">
        <f t="shared" si="30"/>
        <v>-1.228997550710087E-2</v>
      </c>
      <c r="W79" s="3">
        <f t="shared" si="31"/>
        <v>-1.20436381824085E-2</v>
      </c>
      <c r="X79" s="3">
        <f t="shared" si="32"/>
        <v>-1.5709169785971255E-3</v>
      </c>
      <c r="AK79" s="3"/>
      <c r="AL79" s="8"/>
      <c r="AW79" s="3"/>
      <c r="AY79" s="5"/>
      <c r="AZ79" s="28">
        <f t="shared" si="55"/>
        <v>44266</v>
      </c>
      <c r="BA79" s="3">
        <f t="shared" si="56"/>
        <v>74</v>
      </c>
      <c r="BB79" s="3">
        <f t="shared" si="50"/>
        <v>1.1542586858577542</v>
      </c>
      <c r="BC79" s="3">
        <f t="shared" si="51"/>
        <v>1.1491448075461592</v>
      </c>
      <c r="BD79" s="3">
        <f t="shared" si="52"/>
        <v>1.2805954130947608</v>
      </c>
      <c r="BE79" s="3">
        <f t="shared" si="53"/>
        <v>0.85655454294632904</v>
      </c>
      <c r="BG79" s="3">
        <f t="shared" si="54"/>
        <v>-9.7841174059614122E-3</v>
      </c>
      <c r="BH79" s="3">
        <f t="shared" si="33"/>
        <v>-9.0472374221816088E-3</v>
      </c>
      <c r="BI79" s="3">
        <f t="shared" si="34"/>
        <v>-6.5733821279301274E-4</v>
      </c>
      <c r="BJ79" s="3">
        <f t="shared" si="35"/>
        <v>7.471973507777091E-3</v>
      </c>
    </row>
    <row r="80" spans="1:62" x14ac:dyDescent="0.3">
      <c r="A80" s="27">
        <v>44271</v>
      </c>
      <c r="B80" s="3">
        <v>236.27694702148401</v>
      </c>
      <c r="C80" s="3">
        <v>124.98711395263599</v>
      </c>
      <c r="D80" s="3">
        <v>3091.86010742187</v>
      </c>
      <c r="E80" s="3">
        <v>2083.88989257812</v>
      </c>
      <c r="F80" s="3">
        <v>676.88000488281205</v>
      </c>
      <c r="G80" s="3">
        <v>2092.52001953125</v>
      </c>
      <c r="H80" s="3">
        <v>279.27999877929602</v>
      </c>
      <c r="I80" s="3">
        <v>132.842361450195</v>
      </c>
      <c r="J80" s="3">
        <v>251.5</v>
      </c>
      <c r="K80" s="3">
        <v>150.82789611816401</v>
      </c>
      <c r="L80" s="3">
        <v>3962.7099609375</v>
      </c>
      <c r="N80" s="3">
        <f t="shared" si="49"/>
        <v>-2.822578229420003E-3</v>
      </c>
      <c r="O80" s="3">
        <f t="shared" si="23"/>
        <v>-6.4713884104286024E-3</v>
      </c>
      <c r="P80" s="3">
        <f t="shared" si="24"/>
        <v>1.4089109307811043E-2</v>
      </c>
      <c r="Q80" s="3">
        <f t="shared" si="25"/>
        <v>-8.0166967230166364E-4</v>
      </c>
      <c r="R80" s="3">
        <f t="shared" si="26"/>
        <v>3.6168696812729273E-2</v>
      </c>
      <c r="S80" s="3">
        <f t="shared" si="27"/>
        <v>-6.8837433287072258E-4</v>
      </c>
      <c r="T80" s="3">
        <f t="shared" si="28"/>
        <v>1.6794624767817012E-2</v>
      </c>
      <c r="U80" s="3">
        <f t="shared" si="29"/>
        <v>3.7547342242723047E-3</v>
      </c>
      <c r="V80" s="3">
        <f t="shared" si="30"/>
        <v>1.9860979716295191E-3</v>
      </c>
      <c r="W80" s="3">
        <f t="shared" si="31"/>
        <v>1.0239909692042026E-2</v>
      </c>
      <c r="X80" s="3">
        <f t="shared" si="32"/>
        <v>2.8752446501592033E-3</v>
      </c>
      <c r="AK80" s="3"/>
      <c r="AL80" s="8"/>
      <c r="AW80" s="3"/>
      <c r="AY80" s="5"/>
      <c r="AZ80" s="28">
        <f t="shared" si="55"/>
        <v>44267</v>
      </c>
      <c r="BA80" s="3">
        <f t="shared" si="56"/>
        <v>75</v>
      </c>
      <c r="BB80" s="3">
        <f t="shared" si="50"/>
        <v>1.1430203516020621</v>
      </c>
      <c r="BC80" s="3">
        <f t="shared" si="51"/>
        <v>1.1387951103194747</v>
      </c>
      <c r="BD80" s="3">
        <f t="shared" si="52"/>
        <v>1.2797539054024882</v>
      </c>
      <c r="BE80" s="3">
        <f t="shared" si="53"/>
        <v>0.86297866635072018</v>
      </c>
      <c r="BG80" s="3">
        <f t="shared" si="54"/>
        <v>5.8662195278732787E-3</v>
      </c>
      <c r="BH80" s="3">
        <f t="shared" si="33"/>
        <v>1.8189892051948264E-3</v>
      </c>
      <c r="BI80" s="3">
        <f t="shared" si="34"/>
        <v>2.9396282972803389E-3</v>
      </c>
      <c r="BJ80" s="3">
        <f t="shared" si="35"/>
        <v>2.191608834419545E-3</v>
      </c>
    </row>
    <row r="81" spans="1:62" x14ac:dyDescent="0.3">
      <c r="A81" s="27">
        <v>44272</v>
      </c>
      <c r="B81" s="3">
        <v>235.61097717285099</v>
      </c>
      <c r="C81" s="3">
        <v>124.18088531494099</v>
      </c>
      <c r="D81" s="3">
        <v>3135.72998046875</v>
      </c>
      <c r="E81" s="3">
        <v>2082.21997070312</v>
      </c>
      <c r="F81" s="3">
        <v>701.80999755859295</v>
      </c>
      <c r="G81" s="3">
        <v>2091.080078125</v>
      </c>
      <c r="H81" s="3">
        <v>284.010009765625</v>
      </c>
      <c r="I81" s="3">
        <v>133.34208679199199</v>
      </c>
      <c r="J81" s="3">
        <v>252</v>
      </c>
      <c r="K81" s="3">
        <v>152.38029479980401</v>
      </c>
      <c r="L81" s="3">
        <v>3974.1201171875</v>
      </c>
      <c r="N81" s="3">
        <f t="shared" si="49"/>
        <v>-2.7024013037282302E-2</v>
      </c>
      <c r="O81" s="3">
        <f t="shared" si="23"/>
        <v>-3.4493272695725885E-2</v>
      </c>
      <c r="P81" s="3">
        <f t="shared" si="24"/>
        <v>-3.4962965779495647E-2</v>
      </c>
      <c r="Q81" s="3">
        <f t="shared" si="25"/>
        <v>-2.9673977257472117E-2</v>
      </c>
      <c r="R81" s="3">
        <f t="shared" si="26"/>
        <v>-7.1840627524788481E-2</v>
      </c>
      <c r="S81" s="3">
        <f t="shared" si="27"/>
        <v>-2.6585582809127928E-2</v>
      </c>
      <c r="T81" s="3">
        <f t="shared" si="28"/>
        <v>-1.9160654440613989E-2</v>
      </c>
      <c r="U81" s="3">
        <f t="shared" si="29"/>
        <v>-4.7488662070048093E-2</v>
      </c>
      <c r="V81" s="3">
        <f t="shared" si="30"/>
        <v>1.823759407076686E-3</v>
      </c>
      <c r="W81" s="3">
        <f t="shared" si="31"/>
        <v>1.637180479938305E-2</v>
      </c>
      <c r="X81" s="3">
        <f t="shared" si="32"/>
        <v>-1.4870560065947558E-2</v>
      </c>
      <c r="AK81" s="3"/>
      <c r="AL81" s="8"/>
      <c r="AW81" s="3"/>
      <c r="AY81" s="5"/>
      <c r="AZ81" s="28">
        <f t="shared" si="55"/>
        <v>44270</v>
      </c>
      <c r="BA81" s="3">
        <f t="shared" si="56"/>
        <v>76</v>
      </c>
      <c r="BB81" s="3">
        <f t="shared" si="50"/>
        <v>1.1497452655350067</v>
      </c>
      <c r="BC81" s="3">
        <f t="shared" si="51"/>
        <v>1.140868451452969</v>
      </c>
      <c r="BD81" s="3">
        <f t="shared" si="52"/>
        <v>1.2835214410605107</v>
      </c>
      <c r="BE81" s="3">
        <f t="shared" si="53"/>
        <v>0.86487205204236328</v>
      </c>
      <c r="BG81" s="3">
        <f t="shared" si="54"/>
        <v>-2.4814824167579408E-4</v>
      </c>
      <c r="BH81" s="3">
        <f t="shared" si="33"/>
        <v>1.7496181059042659E-3</v>
      </c>
      <c r="BI81" s="3">
        <f t="shared" si="34"/>
        <v>-7.027683117304645E-3</v>
      </c>
      <c r="BJ81" s="3">
        <f t="shared" si="35"/>
        <v>-1.185405770813E-2</v>
      </c>
    </row>
    <row r="82" spans="1:62" x14ac:dyDescent="0.3">
      <c r="A82" s="27">
        <v>44273</v>
      </c>
      <c r="B82" s="3">
        <v>229.32908630371</v>
      </c>
      <c r="C82" s="3">
        <v>119.97051239013599</v>
      </c>
      <c r="D82" s="3">
        <v>3027.98999023437</v>
      </c>
      <c r="E82" s="3">
        <v>2021.33996582031</v>
      </c>
      <c r="F82" s="3">
        <v>653.15997314453102</v>
      </c>
      <c r="G82" s="3">
        <v>2036.21997070312</v>
      </c>
      <c r="H82" s="3">
        <v>278.61999511718699</v>
      </c>
      <c r="I82" s="3">
        <v>127.15785217285099</v>
      </c>
      <c r="J82" s="3">
        <v>252.46000671386699</v>
      </c>
      <c r="K82" s="3">
        <v>154.89556884765599</v>
      </c>
      <c r="L82" s="3">
        <v>3915.4599609375</v>
      </c>
      <c r="N82" s="3">
        <f t="shared" si="49"/>
        <v>-1.6049535783242419E-3</v>
      </c>
      <c r="O82" s="3">
        <f t="shared" si="23"/>
        <v>-4.4902574242122739E-3</v>
      </c>
      <c r="P82" s="3">
        <f t="shared" si="24"/>
        <v>1.5392850505653755E-2</v>
      </c>
      <c r="Q82" s="3">
        <f t="shared" si="25"/>
        <v>2.7764734971000848E-3</v>
      </c>
      <c r="R82" s="3">
        <f t="shared" si="26"/>
        <v>2.6146540803342333E-3</v>
      </c>
      <c r="S82" s="3">
        <f t="shared" si="27"/>
        <v>3.422048925565413E-3</v>
      </c>
      <c r="T82" s="3">
        <f t="shared" si="28"/>
        <v>4.0411282159572792E-2</v>
      </c>
      <c r="U82" s="3">
        <f t="shared" si="29"/>
        <v>9.6411174427819546E-3</v>
      </c>
      <c r="V82" s="3">
        <f t="shared" si="30"/>
        <v>-5.8397273318382403E-3</v>
      </c>
      <c r="W82" s="3">
        <f t="shared" si="31"/>
        <v>-1.6049418093742496E-2</v>
      </c>
      <c r="X82" s="3">
        <f t="shared" si="32"/>
        <v>-6.0288567375366142E-4</v>
      </c>
      <c r="AK82" s="3"/>
      <c r="AL82" s="8"/>
      <c r="AW82" s="3"/>
      <c r="AY82" s="5"/>
      <c r="AZ82" s="28">
        <f t="shared" si="55"/>
        <v>44271</v>
      </c>
      <c r="BA82" s="3">
        <f t="shared" si="56"/>
        <v>77</v>
      </c>
      <c r="BB82" s="3">
        <f t="shared" si="50"/>
        <v>1.1494599936653094</v>
      </c>
      <c r="BC82" s="3">
        <f t="shared" si="51"/>
        <v>1.142866282763362</v>
      </c>
      <c r="BD82" s="3">
        <f t="shared" si="52"/>
        <v>1.2745328804703613</v>
      </c>
      <c r="BE82" s="3">
        <f t="shared" si="53"/>
        <v>0.85468033477324301</v>
      </c>
      <c r="BG82" s="3">
        <f t="shared" si="54"/>
        <v>7.8538527867174357E-3</v>
      </c>
      <c r="BH82" s="3">
        <f t="shared" si="33"/>
        <v>5.3359149566006014E-3</v>
      </c>
      <c r="BI82" s="3">
        <f t="shared" si="34"/>
        <v>7.2275766077228298E-3</v>
      </c>
      <c r="BJ82" s="3">
        <f t="shared" si="35"/>
        <v>6.5667194005450957E-3</v>
      </c>
    </row>
    <row r="83" spans="1:62" x14ac:dyDescent="0.3">
      <c r="A83" s="27">
        <v>44274</v>
      </c>
      <c r="B83" s="3">
        <v>228.96131896972599</v>
      </c>
      <c r="C83" s="3">
        <v>119.43302154541</v>
      </c>
      <c r="D83" s="3">
        <v>3074.9599609375</v>
      </c>
      <c r="E83" s="3">
        <v>2026.9599609375</v>
      </c>
      <c r="F83" s="3">
        <v>654.86999511718705</v>
      </c>
      <c r="G83" s="3">
        <v>2043.19995117187</v>
      </c>
      <c r="H83" s="3">
        <v>290.10998535156199</v>
      </c>
      <c r="I83" s="3">
        <v>128.389724731445</v>
      </c>
      <c r="J83" s="3">
        <v>250.99000549316401</v>
      </c>
      <c r="K83" s="3">
        <v>152.429428100585</v>
      </c>
      <c r="L83" s="3">
        <v>3913.10009765625</v>
      </c>
      <c r="N83" s="3">
        <f t="shared" si="49"/>
        <v>2.4189556664533818E-2</v>
      </c>
      <c r="O83" s="3">
        <f t="shared" ref="O83:O146" si="57">LN(C84)-LN(C83)</f>
        <v>2.7941716306402853E-2</v>
      </c>
      <c r="P83" s="3">
        <f t="shared" ref="P83:P146" si="58">LN(D84)-LN(D83)</f>
        <v>1.1610587165657549E-2</v>
      </c>
      <c r="Q83" s="3">
        <f t="shared" ref="Q83:Q146" si="59">LN(E84)-LN(E83)</f>
        <v>1.838493516763684E-3</v>
      </c>
      <c r="R83" s="3">
        <f t="shared" ref="R83:R146" si="60">LN(F84)-LN(F83)</f>
        <v>2.2840977186787015E-2</v>
      </c>
      <c r="S83" s="3">
        <f t="shared" ref="S83:S146" si="61">LN(G84)-LN(G83)</f>
        <v>-2.2588067516462473E-3</v>
      </c>
      <c r="T83" s="3">
        <f t="shared" ref="T83:T146" si="62">LN(H84)-LN(H83)</f>
        <v>1.1753834380295203E-2</v>
      </c>
      <c r="U83" s="3">
        <f t="shared" ref="U83:U146" si="63">LN(I84)-LN(I83)</f>
        <v>2.6161447058155041E-2</v>
      </c>
      <c r="V83" s="3">
        <f t="shared" ref="V83:V146" si="64">LN(J84)-LN(J83)</f>
        <v>-2.5132350922678626E-3</v>
      </c>
      <c r="W83" s="3">
        <f t="shared" ref="W83:W146" si="65">LN(K84)-LN(K83)</f>
        <v>-2.7246861109775367E-2</v>
      </c>
      <c r="X83" s="3">
        <f t="shared" ref="X83:X146" si="66">LN(L84)-LN(L83)</f>
        <v>7.0005568983404487E-3</v>
      </c>
      <c r="AK83" s="3"/>
      <c r="AL83" s="8"/>
      <c r="AW83" s="3"/>
      <c r="AY83" s="5"/>
      <c r="AZ83" s="28">
        <f t="shared" si="55"/>
        <v>44272</v>
      </c>
      <c r="BA83" s="3">
        <f t="shared" si="56"/>
        <v>78</v>
      </c>
      <c r="BB83" s="3">
        <f t="shared" si="50"/>
        <v>1.158523227303921</v>
      </c>
      <c r="BC83" s="3">
        <f t="shared" si="51"/>
        <v>1.1489808188695412</v>
      </c>
      <c r="BD83" s="3">
        <f t="shared" si="52"/>
        <v>1.2837780342861942</v>
      </c>
      <c r="BE83" s="3">
        <f t="shared" si="53"/>
        <v>0.86031124879043974</v>
      </c>
      <c r="BG83" s="3">
        <f t="shared" si="54"/>
        <v>-2.7091634301983844E-2</v>
      </c>
      <c r="BH83" s="3">
        <f t="shared" si="33"/>
        <v>-2.107296025540413E-2</v>
      </c>
      <c r="BI83" s="3">
        <f t="shared" si="34"/>
        <v>-1.8815717037173219E-2</v>
      </c>
      <c r="BJ83" s="3">
        <f t="shared" si="35"/>
        <v>-1.4661755029628798E-2</v>
      </c>
    </row>
    <row r="84" spans="1:62" x14ac:dyDescent="0.3">
      <c r="A84" s="27">
        <v>44277</v>
      </c>
      <c r="B84" s="3">
        <v>234.56732177734301</v>
      </c>
      <c r="C84" s="3">
        <v>122.817245483398</v>
      </c>
      <c r="D84" s="3">
        <v>3110.8701171875</v>
      </c>
      <c r="E84" s="3">
        <v>2030.68994140625</v>
      </c>
      <c r="F84" s="3">
        <v>670</v>
      </c>
      <c r="G84" s="3">
        <v>2038.58996582031</v>
      </c>
      <c r="H84" s="3">
        <v>293.54000854492102</v>
      </c>
      <c r="I84" s="3">
        <v>131.79290771484301</v>
      </c>
      <c r="J84" s="3">
        <v>250.36000061035099</v>
      </c>
      <c r="K84" s="3">
        <v>148.332275390625</v>
      </c>
      <c r="L84" s="3">
        <v>3940.59008789062</v>
      </c>
      <c r="N84" s="3">
        <f t="shared" si="49"/>
        <v>6.7149743018477537E-3</v>
      </c>
      <c r="O84" s="3">
        <f t="shared" si="57"/>
        <v>-6.9125605510391708E-3</v>
      </c>
      <c r="P84" s="3">
        <f t="shared" si="58"/>
        <v>8.5238369518680912E-3</v>
      </c>
      <c r="Q84" s="3">
        <f t="shared" si="59"/>
        <v>5.2259267545471388E-3</v>
      </c>
      <c r="R84" s="3">
        <f t="shared" si="60"/>
        <v>-1.1770534365243002E-2</v>
      </c>
      <c r="S84" s="3">
        <f t="shared" si="61"/>
        <v>7.0242594905458589E-3</v>
      </c>
      <c r="T84" s="3">
        <f t="shared" si="62"/>
        <v>-9.9629479974669977E-3</v>
      </c>
      <c r="U84" s="3">
        <f t="shared" si="63"/>
        <v>-8.7976953573294381E-3</v>
      </c>
      <c r="V84" s="3">
        <f t="shared" si="64"/>
        <v>-8.2219287610731939E-3</v>
      </c>
      <c r="W84" s="3">
        <f t="shared" si="65"/>
        <v>-1.0052305952167551E-2</v>
      </c>
      <c r="X84" s="3">
        <f t="shared" si="66"/>
        <v>-7.6601181193325374E-3</v>
      </c>
      <c r="AK84" s="3"/>
      <c r="AL84" s="8"/>
      <c r="AW84" s="3"/>
      <c r="AY84" s="5"/>
      <c r="AZ84" s="28">
        <f t="shared" si="55"/>
        <v>44273</v>
      </c>
      <c r="BA84" s="3">
        <f t="shared" si="56"/>
        <v>79</v>
      </c>
      <c r="BB84" s="3">
        <f t="shared" si="50"/>
        <v>1.1275582791133625</v>
      </c>
      <c r="BC84" s="3">
        <f t="shared" si="51"/>
        <v>1.1250217228969341</v>
      </c>
      <c r="BD84" s="3">
        <f t="shared" si="52"/>
        <v>1.2598486601950165</v>
      </c>
      <c r="BE84" s="3">
        <f t="shared" si="53"/>
        <v>0.84778959503254381</v>
      </c>
      <c r="BG84" s="3">
        <f t="shared" si="54"/>
        <v>3.8066247679515719E-3</v>
      </c>
      <c r="BH84" s="3">
        <f t="shared" si="33"/>
        <v>2.2050236530921086E-3</v>
      </c>
      <c r="BI84" s="3">
        <f t="shared" si="34"/>
        <v>-3.6755302755079045E-3</v>
      </c>
      <c r="BJ84" s="3">
        <f t="shared" si="35"/>
        <v>-9.0280396652155093E-3</v>
      </c>
    </row>
    <row r="85" spans="1:62" x14ac:dyDescent="0.3">
      <c r="A85" s="27">
        <v>44278</v>
      </c>
      <c r="B85" s="3">
        <v>236.14773559570301</v>
      </c>
      <c r="C85" s="3">
        <v>121.97119140625</v>
      </c>
      <c r="D85" s="3">
        <v>3137.5</v>
      </c>
      <c r="E85" s="3">
        <v>2041.32995605468</v>
      </c>
      <c r="F85" s="3">
        <v>662.15997314453102</v>
      </c>
      <c r="G85" s="3">
        <v>2052.9599609375</v>
      </c>
      <c r="H85" s="3">
        <v>290.63000488281199</v>
      </c>
      <c r="I85" s="3">
        <v>130.63851928710901</v>
      </c>
      <c r="J85" s="3">
        <v>248.30999755859301</v>
      </c>
      <c r="K85" s="3">
        <v>146.84866333007801</v>
      </c>
      <c r="L85" s="3">
        <v>3910.52001953125</v>
      </c>
      <c r="N85" s="3">
        <f t="shared" si="49"/>
        <v>-8.9633785164062729E-3</v>
      </c>
      <c r="O85" s="3">
        <f t="shared" si="57"/>
        <v>-2.0196122911015024E-2</v>
      </c>
      <c r="P85" s="3">
        <f t="shared" si="58"/>
        <v>-1.6203861314238566E-2</v>
      </c>
      <c r="Q85" s="3">
        <f t="shared" si="59"/>
        <v>-4.3201977860540808E-3</v>
      </c>
      <c r="R85" s="3">
        <f t="shared" si="60"/>
        <v>-4.9358848027420521E-2</v>
      </c>
      <c r="S85" s="3">
        <f t="shared" si="61"/>
        <v>-3.8554775681465259E-3</v>
      </c>
      <c r="T85" s="3">
        <f t="shared" si="62"/>
        <v>-2.9647543730097148E-2</v>
      </c>
      <c r="U85" s="3">
        <f t="shared" si="63"/>
        <v>-3.3273231604502129E-2</v>
      </c>
      <c r="V85" s="3">
        <f t="shared" si="64"/>
        <v>5.3018854073245691E-3</v>
      </c>
      <c r="W85" s="3">
        <f t="shared" si="65"/>
        <v>7.7312563197846629E-3</v>
      </c>
      <c r="X85" s="3">
        <f t="shared" si="66"/>
        <v>-5.482336600350024E-3</v>
      </c>
      <c r="AK85" s="3"/>
      <c r="AL85" s="8"/>
      <c r="AW85" s="3"/>
      <c r="AY85" s="5"/>
      <c r="AZ85" s="28">
        <f t="shared" si="55"/>
        <v>44274</v>
      </c>
      <c r="BA85" s="3">
        <f t="shared" si="56"/>
        <v>80</v>
      </c>
      <c r="BB85" s="3">
        <f t="shared" si="50"/>
        <v>1.1318586501425425</v>
      </c>
      <c r="BC85" s="3">
        <f t="shared" si="51"/>
        <v>1.1275051594180669</v>
      </c>
      <c r="BD85" s="3">
        <f t="shared" si="52"/>
        <v>1.2552265478623625</v>
      </c>
      <c r="BE85" s="3">
        <f t="shared" si="53"/>
        <v>0.84017016296038483</v>
      </c>
      <c r="BG85" s="3">
        <f t="shared" si="54"/>
        <v>8.5505600660391173E-3</v>
      </c>
      <c r="BH85" s="3">
        <f t="shared" ref="BH85:BH148" si="67">LN(BC86)-LN(BC85)</f>
        <v>6.0214306862883954E-3</v>
      </c>
      <c r="BI85" s="3">
        <f t="shared" ref="BI85:BI148" si="68">LN(BD86)-LN(BD85)</f>
        <v>6.3768502825305162E-3</v>
      </c>
      <c r="BJ85" s="3">
        <f t="shared" ref="BJ85:BJ148" si="69">LN(BE86)-LN(BE85)</f>
        <v>7.7562339324466212E-3</v>
      </c>
    </row>
    <row r="86" spans="1:62" x14ac:dyDescent="0.3">
      <c r="A86" s="27">
        <v>44279</v>
      </c>
      <c r="B86" s="3">
        <v>234.04051208496</v>
      </c>
      <c r="C86" s="3">
        <v>119.53255462646401</v>
      </c>
      <c r="D86" s="3">
        <v>3087.07006835937</v>
      </c>
      <c r="E86" s="3">
        <v>2032.53002929687</v>
      </c>
      <c r="F86" s="3">
        <v>630.27001953125</v>
      </c>
      <c r="G86" s="3">
        <v>2045.06005859375</v>
      </c>
      <c r="H86" s="3">
        <v>282.14001464843699</v>
      </c>
      <c r="I86" s="3">
        <v>126.363273620605</v>
      </c>
      <c r="J86" s="3">
        <v>249.63000488281199</v>
      </c>
      <c r="K86" s="3">
        <v>147.98838806152301</v>
      </c>
      <c r="L86" s="3">
        <v>3889.13989257812</v>
      </c>
      <c r="N86" s="3">
        <f t="shared" si="49"/>
        <v>-1.333925511361489E-2</v>
      </c>
      <c r="O86" s="3">
        <f t="shared" si="57"/>
        <v>4.1548503139807735E-3</v>
      </c>
      <c r="P86" s="3">
        <f t="shared" si="58"/>
        <v>-1.3307831261338166E-2</v>
      </c>
      <c r="Q86" s="3">
        <f t="shared" si="59"/>
        <v>-3.4474062442946263E-5</v>
      </c>
      <c r="R86" s="3">
        <f t="shared" si="60"/>
        <v>1.5929058642061733E-2</v>
      </c>
      <c r="S86" s="3">
        <f t="shared" si="61"/>
        <v>-3.4238265646724386E-4</v>
      </c>
      <c r="T86" s="3">
        <f t="shared" si="62"/>
        <v>-1.2124040908917166E-2</v>
      </c>
      <c r="U86" s="3">
        <f t="shared" si="63"/>
        <v>-8.5589937240966307E-3</v>
      </c>
      <c r="V86" s="3">
        <f t="shared" si="64"/>
        <v>4.476585701399749E-3</v>
      </c>
      <c r="W86" s="3">
        <f t="shared" si="65"/>
        <v>1.2732449030587567E-2</v>
      </c>
      <c r="X86" s="3">
        <f t="shared" si="66"/>
        <v>5.2265834327300809E-3</v>
      </c>
      <c r="AK86" s="3"/>
      <c r="AL86" s="8"/>
      <c r="AW86" s="3"/>
      <c r="AY86" s="5"/>
      <c r="AZ86" s="28">
        <f t="shared" si="55"/>
        <v>44277</v>
      </c>
      <c r="BA86" s="3">
        <f t="shared" si="56"/>
        <v>81</v>
      </c>
      <c r="BB86" s="3">
        <f t="shared" si="50"/>
        <v>1.141578169968108</v>
      </c>
      <c r="BC86" s="3">
        <f t="shared" si="51"/>
        <v>1.1343148350034913</v>
      </c>
      <c r="BD86" s="3">
        <f t="shared" si="52"/>
        <v>1.2632565153680053</v>
      </c>
      <c r="BE86" s="3">
        <f t="shared" si="53"/>
        <v>0.84671205672034322</v>
      </c>
      <c r="BG86" s="3">
        <f t="shared" si="54"/>
        <v>-3.0399181769769634E-3</v>
      </c>
      <c r="BH86" s="3">
        <f t="shared" si="67"/>
        <v>-2.2277319538682033E-3</v>
      </c>
      <c r="BI86" s="3">
        <f t="shared" si="68"/>
        <v>-7.2679571048320513E-3</v>
      </c>
      <c r="BJ86" s="3">
        <f t="shared" si="69"/>
        <v>-1.079093133344905E-2</v>
      </c>
    </row>
    <row r="87" spans="1:62" x14ac:dyDescent="0.3">
      <c r="A87" s="27">
        <v>44280</v>
      </c>
      <c r="B87" s="3">
        <v>230.93931579589801</v>
      </c>
      <c r="C87" s="3">
        <v>120.030227661132</v>
      </c>
      <c r="D87" s="3">
        <v>3046.26000976562</v>
      </c>
      <c r="E87" s="3">
        <v>2032.4599609375</v>
      </c>
      <c r="F87" s="3">
        <v>640.39001464843705</v>
      </c>
      <c r="G87" s="3">
        <v>2044.35998535156</v>
      </c>
      <c r="H87" s="3">
        <v>278.739990234375</v>
      </c>
      <c r="I87" s="3">
        <v>125.28634643554599</v>
      </c>
      <c r="J87" s="3">
        <v>250.75</v>
      </c>
      <c r="K87" s="3">
        <v>149.88468933105401</v>
      </c>
      <c r="L87" s="3">
        <v>3909.52001953125</v>
      </c>
      <c r="N87" s="3">
        <f t="shared" si="49"/>
        <v>1.7661732942371167E-2</v>
      </c>
      <c r="O87" s="3">
        <f t="shared" si="57"/>
        <v>5.1283166685180959E-3</v>
      </c>
      <c r="P87" s="3">
        <f t="shared" si="58"/>
        <v>1.8923407106381518E-3</v>
      </c>
      <c r="Q87" s="3">
        <f t="shared" si="59"/>
        <v>-3.8105141409063847E-3</v>
      </c>
      <c r="R87" s="3">
        <f t="shared" si="60"/>
        <v>-3.4440687792170799E-2</v>
      </c>
      <c r="S87" s="3">
        <f t="shared" si="61"/>
        <v>-4.3186982764753523E-3</v>
      </c>
      <c r="T87" s="3">
        <f t="shared" si="62"/>
        <v>1.523811504954331E-2</v>
      </c>
      <c r="U87" s="3">
        <f t="shared" si="63"/>
        <v>2.3962174267558645E-2</v>
      </c>
      <c r="V87" s="3">
        <f t="shared" si="64"/>
        <v>2.3724272932928336E-2</v>
      </c>
      <c r="W87" s="3">
        <f t="shared" si="65"/>
        <v>1.6513075005930133E-2</v>
      </c>
      <c r="X87" s="3">
        <f t="shared" si="66"/>
        <v>1.649441865871637E-2</v>
      </c>
      <c r="AK87" s="3"/>
      <c r="AL87" s="8"/>
      <c r="AW87" s="3"/>
      <c r="AY87" s="5"/>
      <c r="AZ87" s="28">
        <f t="shared" si="55"/>
        <v>44278</v>
      </c>
      <c r="BA87" s="3">
        <f t="shared" si="56"/>
        <v>82</v>
      </c>
      <c r="BB87" s="3">
        <f t="shared" si="50"/>
        <v>1.1381131351183884</v>
      </c>
      <c r="BC87" s="3">
        <f t="shared" si="51"/>
        <v>1.1317906981938173</v>
      </c>
      <c r="BD87" s="3">
        <f t="shared" si="52"/>
        <v>1.2541085051437593</v>
      </c>
      <c r="BE87" s="3">
        <f t="shared" si="53"/>
        <v>0.83762436556658582</v>
      </c>
      <c r="BG87" s="3">
        <f t="shared" si="54"/>
        <v>-1.5066487969757056E-2</v>
      </c>
      <c r="BH87" s="3">
        <f t="shared" si="67"/>
        <v>-1.0185008280559432E-2</v>
      </c>
      <c r="BI87" s="3">
        <f t="shared" si="68"/>
        <v>-1.2043249595045019E-2</v>
      </c>
      <c r="BJ87" s="3">
        <f t="shared" si="69"/>
        <v>-1.1736235427836528E-2</v>
      </c>
    </row>
    <row r="88" spans="1:62" x14ac:dyDescent="0.3">
      <c r="A88" s="27">
        <v>44281</v>
      </c>
      <c r="B88" s="3">
        <v>235.05433654785099</v>
      </c>
      <c r="C88" s="3">
        <v>120.64736175537099</v>
      </c>
      <c r="D88" s="3">
        <v>3052.03002929687</v>
      </c>
      <c r="E88" s="3">
        <v>2024.72998046875</v>
      </c>
      <c r="F88" s="3">
        <v>618.71002197265602</v>
      </c>
      <c r="G88" s="3">
        <v>2035.55004882812</v>
      </c>
      <c r="H88" s="3">
        <v>283.01998901367102</v>
      </c>
      <c r="I88" s="3">
        <v>128.32473754882801</v>
      </c>
      <c r="J88" s="3">
        <v>256.76998901367102</v>
      </c>
      <c r="K88" s="3">
        <v>152.38029479980401</v>
      </c>
      <c r="L88" s="3">
        <v>3974.5400390625</v>
      </c>
      <c r="N88" s="3">
        <f t="shared" si="49"/>
        <v>-5.2572558537908876E-3</v>
      </c>
      <c r="O88" s="3">
        <f t="shared" si="57"/>
        <v>1.4839594658386801E-3</v>
      </c>
      <c r="P88" s="3">
        <f t="shared" si="58"/>
        <v>7.7353125148480473E-3</v>
      </c>
      <c r="Q88" s="3">
        <f t="shared" si="59"/>
        <v>1.0347693370422739E-2</v>
      </c>
      <c r="R88" s="3">
        <f t="shared" si="60"/>
        <v>-1.2065258466173567E-2</v>
      </c>
      <c r="S88" s="3">
        <f t="shared" si="61"/>
        <v>9.9719278453118676E-3</v>
      </c>
      <c r="T88" s="3">
        <f t="shared" si="62"/>
        <v>2.7187016564034217E-2</v>
      </c>
      <c r="U88" s="3">
        <f t="shared" si="63"/>
        <v>8.4536950171099079E-3</v>
      </c>
      <c r="V88" s="3">
        <f t="shared" si="64"/>
        <v>7.9521679170513337E-3</v>
      </c>
      <c r="W88" s="3">
        <f t="shared" si="65"/>
        <v>-1.5661342365502762E-2</v>
      </c>
      <c r="X88" s="3">
        <f t="shared" si="66"/>
        <v>-8.6838962638680073E-4</v>
      </c>
      <c r="AK88" s="3"/>
      <c r="AL88" s="8"/>
      <c r="AW88" s="3"/>
      <c r="AY88" s="5"/>
      <c r="AZ88" s="28">
        <f t="shared" si="55"/>
        <v>44279</v>
      </c>
      <c r="BA88" s="3">
        <f t="shared" si="56"/>
        <v>83</v>
      </c>
      <c r="BB88" s="3">
        <f t="shared" si="50"/>
        <v>1.1210942962624957</v>
      </c>
      <c r="BC88" s="3">
        <f t="shared" si="51"/>
        <v>1.1203219045819965</v>
      </c>
      <c r="BD88" s="3">
        <f t="shared" si="52"/>
        <v>1.2390955472525709</v>
      </c>
      <c r="BE88" s="3">
        <f t="shared" si="53"/>
        <v>0.82785127066148645</v>
      </c>
      <c r="BG88" s="3">
        <f t="shared" si="54"/>
        <v>-2.2125006476195197E-4</v>
      </c>
      <c r="BH88" s="3">
        <f t="shared" si="67"/>
        <v>-6.8787120789522149E-4</v>
      </c>
      <c r="BI88" s="3">
        <f t="shared" si="68"/>
        <v>2.7374013297255806E-3</v>
      </c>
      <c r="BJ88" s="3">
        <f t="shared" si="69"/>
        <v>3.7911039128635526E-3</v>
      </c>
    </row>
    <row r="89" spans="1:62" x14ac:dyDescent="0.3">
      <c r="A89" s="27">
        <v>44284</v>
      </c>
      <c r="B89" s="3">
        <v>233.82183837890599</v>
      </c>
      <c r="C89" s="3">
        <v>120.826530456542</v>
      </c>
      <c r="D89" s="3">
        <v>3075.72998046875</v>
      </c>
      <c r="E89" s="3">
        <v>2045.7900390625</v>
      </c>
      <c r="F89" s="3">
        <v>611.28997802734295</v>
      </c>
      <c r="G89" s="3">
        <v>2055.94995117187</v>
      </c>
      <c r="H89" s="3">
        <v>290.82000732421801</v>
      </c>
      <c r="I89" s="3">
        <v>129.41415405273401</v>
      </c>
      <c r="J89" s="3">
        <v>258.82000732421801</v>
      </c>
      <c r="K89" s="3">
        <v>150.01240539550699</v>
      </c>
      <c r="L89" s="3">
        <v>3971.09008789062</v>
      </c>
      <c r="N89" s="3">
        <f t="shared" si="49"/>
        <v>-1.4515679301397633E-2</v>
      </c>
      <c r="O89" s="3">
        <f t="shared" si="57"/>
        <v>-1.2350457064959741E-2</v>
      </c>
      <c r="P89" s="3">
        <f t="shared" si="58"/>
        <v>-6.6677378540269672E-3</v>
      </c>
      <c r="Q89" s="3">
        <f t="shared" si="59"/>
        <v>3.3230129329719915E-4</v>
      </c>
      <c r="R89" s="3">
        <f t="shared" si="60"/>
        <v>3.9029450440497548E-2</v>
      </c>
      <c r="S89" s="3">
        <f t="shared" si="61"/>
        <v>-1.9939832600890384E-4</v>
      </c>
      <c r="T89" s="3">
        <f t="shared" si="62"/>
        <v>-9.7440641341055567E-3</v>
      </c>
      <c r="U89" s="3">
        <f t="shared" si="63"/>
        <v>-5.9255879709088077E-3</v>
      </c>
      <c r="V89" s="3">
        <f t="shared" si="64"/>
        <v>-2.4371102405700285E-3</v>
      </c>
      <c r="W89" s="3">
        <f t="shared" si="65"/>
        <v>1.1720335601708598E-2</v>
      </c>
      <c r="X89" s="3">
        <f t="shared" si="66"/>
        <v>-3.1628294096499587E-3</v>
      </c>
      <c r="AK89" s="3"/>
      <c r="AL89" s="8"/>
      <c r="AW89" s="3"/>
      <c r="AY89" s="5"/>
      <c r="AZ89" s="28">
        <f t="shared" si="55"/>
        <v>44280</v>
      </c>
      <c r="BA89" s="3">
        <f t="shared" si="56"/>
        <v>84</v>
      </c>
      <c r="BB89" s="3">
        <f t="shared" si="50"/>
        <v>1.1208462815144946</v>
      </c>
      <c r="BC89" s="3">
        <f t="shared" si="51"/>
        <v>1.1195515323890619</v>
      </c>
      <c r="BD89" s="3">
        <f t="shared" si="52"/>
        <v>1.2424920957885517</v>
      </c>
      <c r="BE89" s="3">
        <f t="shared" si="53"/>
        <v>0.83099569751133018</v>
      </c>
      <c r="BG89" s="3">
        <f t="shared" si="54"/>
        <v>5.4318035272967469E-3</v>
      </c>
      <c r="BH89" s="3">
        <f t="shared" si="67"/>
        <v>8.7052817653542613E-3</v>
      </c>
      <c r="BI89" s="3">
        <f t="shared" si="68"/>
        <v>1.3667665870792489E-2</v>
      </c>
      <c r="BJ89" s="3">
        <f t="shared" si="69"/>
        <v>2.1627165017057026E-2</v>
      </c>
    </row>
    <row r="90" spans="1:62" x14ac:dyDescent="0.3">
      <c r="A90" s="27">
        <v>44285</v>
      </c>
      <c r="B90" s="3">
        <v>230.45227050781199</v>
      </c>
      <c r="C90" s="3">
        <v>119.343444824218</v>
      </c>
      <c r="D90" s="3">
        <v>3055.2900390625</v>
      </c>
      <c r="E90" s="3">
        <v>2046.46997070312</v>
      </c>
      <c r="F90" s="3">
        <v>635.61999511718705</v>
      </c>
      <c r="G90" s="3">
        <v>2055.5400390625</v>
      </c>
      <c r="H90" s="3">
        <v>288</v>
      </c>
      <c r="I90" s="3">
        <v>128.64956665039</v>
      </c>
      <c r="J90" s="3">
        <v>258.19000244140602</v>
      </c>
      <c r="K90" s="3">
        <v>151.78094482421801</v>
      </c>
      <c r="L90" s="3">
        <v>3958.55004882812</v>
      </c>
      <c r="N90" s="3">
        <f t="shared" si="49"/>
        <v>1.6766118781622374E-2</v>
      </c>
      <c r="O90" s="3">
        <f t="shared" si="57"/>
        <v>1.859166857591088E-2</v>
      </c>
      <c r="P90" s="3">
        <f t="shared" si="58"/>
        <v>1.2616106309092601E-2</v>
      </c>
      <c r="Q90" s="3">
        <f t="shared" si="59"/>
        <v>7.8122022661242241E-3</v>
      </c>
      <c r="R90" s="3">
        <f t="shared" si="60"/>
        <v>4.9582473844473007E-2</v>
      </c>
      <c r="S90" s="3">
        <f t="shared" si="61"/>
        <v>6.3478896133304374E-3</v>
      </c>
      <c r="T90" s="3">
        <f t="shared" si="62"/>
        <v>2.2420381195120243E-2</v>
      </c>
      <c r="U90" s="3">
        <f t="shared" si="63"/>
        <v>3.6350276509677037E-2</v>
      </c>
      <c r="V90" s="3">
        <f t="shared" si="64"/>
        <v>-1.0590766753073133E-2</v>
      </c>
      <c r="W90" s="3">
        <f t="shared" si="65"/>
        <v>-1.4672136993305607E-2</v>
      </c>
      <c r="X90" s="3">
        <f t="shared" si="66"/>
        <v>3.6159535924191744E-3</v>
      </c>
      <c r="AK90" s="3"/>
      <c r="AL90" s="8"/>
      <c r="AW90" s="3"/>
      <c r="AY90" s="5"/>
      <c r="AZ90" s="28">
        <f t="shared" si="55"/>
        <v>44281</v>
      </c>
      <c r="BA90" s="3">
        <f t="shared" si="56"/>
        <v>85</v>
      </c>
      <c r="BB90" s="3">
        <f t="shared" si="50"/>
        <v>1.1269510632776747</v>
      </c>
      <c r="BC90" s="3">
        <f t="shared" si="51"/>
        <v>1.1293400881812397</v>
      </c>
      <c r="BD90" s="3">
        <f t="shared" si="52"/>
        <v>1.2595906450561816</v>
      </c>
      <c r="BE90" s="3">
        <f t="shared" si="53"/>
        <v>0.84916352980576648</v>
      </c>
      <c r="BG90" s="3">
        <f t="shared" si="54"/>
        <v>3.2828930884197111E-3</v>
      </c>
      <c r="BH90" s="3">
        <f t="shared" si="67"/>
        <v>3.6291271592176488E-3</v>
      </c>
      <c r="BI90" s="3">
        <f t="shared" si="68"/>
        <v>-2.1843698908758369E-3</v>
      </c>
      <c r="BJ90" s="3">
        <f t="shared" si="69"/>
        <v>-6.6174667110102392E-3</v>
      </c>
    </row>
    <row r="91" spans="1:62" x14ac:dyDescent="0.3">
      <c r="A91" s="27">
        <v>44286</v>
      </c>
      <c r="B91" s="3">
        <v>234.3486328125</v>
      </c>
      <c r="C91" s="3">
        <v>121.58299255371</v>
      </c>
      <c r="D91" s="3">
        <v>3094.080078125</v>
      </c>
      <c r="E91" s="3">
        <v>2062.52001953125</v>
      </c>
      <c r="F91" s="3">
        <v>667.92999267578102</v>
      </c>
      <c r="G91" s="3">
        <v>2068.6298828125</v>
      </c>
      <c r="H91" s="3">
        <v>294.52999877929602</v>
      </c>
      <c r="I91" s="3">
        <v>133.41204833984301</v>
      </c>
      <c r="J91" s="3">
        <v>255.47000122070301</v>
      </c>
      <c r="K91" s="3">
        <v>149.57025146484301</v>
      </c>
      <c r="L91" s="3">
        <v>3972.88989257812</v>
      </c>
      <c r="N91" s="3">
        <f t="shared" si="49"/>
        <v>2.7526260812889447E-2</v>
      </c>
      <c r="O91" s="3">
        <f t="shared" si="57"/>
        <v>6.9346174346991418E-3</v>
      </c>
      <c r="P91" s="3">
        <f t="shared" si="58"/>
        <v>2.1397799670603845E-2</v>
      </c>
      <c r="Q91" s="3">
        <f t="shared" si="59"/>
        <v>3.2090156138784742E-2</v>
      </c>
      <c r="R91" s="3">
        <f t="shared" si="60"/>
        <v>-9.2955255538251791E-3</v>
      </c>
      <c r="S91" s="3">
        <f t="shared" si="61"/>
        <v>3.2867378285216908E-2</v>
      </c>
      <c r="T91" s="3">
        <f t="shared" si="62"/>
        <v>1.3924953559855346E-2</v>
      </c>
      <c r="U91" s="3">
        <f t="shared" si="63"/>
        <v>3.4134384990117006E-2</v>
      </c>
      <c r="V91" s="3">
        <f t="shared" si="64"/>
        <v>1.0629534991584144E-2</v>
      </c>
      <c r="W91" s="3">
        <f t="shared" si="65"/>
        <v>9.6753143571275402E-3</v>
      </c>
      <c r="X91" s="3">
        <f t="shared" si="66"/>
        <v>1.1755830427675917E-2</v>
      </c>
      <c r="AK91" s="3"/>
      <c r="AL91" s="8"/>
      <c r="AW91" s="3"/>
      <c r="AY91" s="5"/>
      <c r="AZ91" s="28">
        <f t="shared" si="55"/>
        <v>44284</v>
      </c>
      <c r="BA91" s="3">
        <f t="shared" si="56"/>
        <v>86</v>
      </c>
      <c r="BB91" s="3">
        <f t="shared" si="50"/>
        <v>1.1306568025790846</v>
      </c>
      <c r="BC91" s="3">
        <f t="shared" si="51"/>
        <v>1.1334460529949733</v>
      </c>
      <c r="BD91" s="3">
        <f t="shared" si="52"/>
        <v>1.2568422360400728</v>
      </c>
      <c r="BE91" s="3">
        <f t="shared" si="53"/>
        <v>0.84356277027344773</v>
      </c>
      <c r="BG91" s="3">
        <f t="shared" si="54"/>
        <v>9.8396495862353162E-4</v>
      </c>
      <c r="BH91" s="3">
        <f t="shared" si="67"/>
        <v>-1.4362409231145901E-3</v>
      </c>
      <c r="BI91" s="3">
        <f t="shared" si="68"/>
        <v>1.3274362131716622E-3</v>
      </c>
      <c r="BJ91" s="3">
        <f t="shared" si="69"/>
        <v>1.2567132193411212E-4</v>
      </c>
    </row>
    <row r="92" spans="1:62" x14ac:dyDescent="0.3">
      <c r="A92" s="27">
        <v>44287</v>
      </c>
      <c r="B92" s="3">
        <v>240.88897705078099</v>
      </c>
      <c r="C92" s="3">
        <v>122.429054260253</v>
      </c>
      <c r="D92" s="3">
        <v>3161</v>
      </c>
      <c r="E92" s="3">
        <v>2129.78002929687</v>
      </c>
      <c r="F92" s="3">
        <v>661.75</v>
      </c>
      <c r="G92" s="3">
        <v>2137.75</v>
      </c>
      <c r="H92" s="3">
        <v>298.66000366210898</v>
      </c>
      <c r="I92" s="3">
        <v>138.04460144042901</v>
      </c>
      <c r="J92" s="3">
        <v>258.20001220703102</v>
      </c>
      <c r="K92" s="3">
        <v>151.0244140625</v>
      </c>
      <c r="L92" s="3">
        <v>4019.8701171875</v>
      </c>
      <c r="N92" s="3">
        <f t="shared" si="49"/>
        <v>2.7351023601122293E-2</v>
      </c>
      <c r="O92" s="3">
        <f t="shared" si="57"/>
        <v>2.3303561473802858E-2</v>
      </c>
      <c r="P92" s="3">
        <f t="shared" si="58"/>
        <v>2.0580801240486224E-2</v>
      </c>
      <c r="Q92" s="3">
        <f t="shared" si="59"/>
        <v>4.1019898288345402E-2</v>
      </c>
      <c r="R92" s="3">
        <f t="shared" si="60"/>
        <v>4.3324321278354283E-2</v>
      </c>
      <c r="S92" s="3">
        <f t="shared" si="61"/>
        <v>4.0250223968646637E-2</v>
      </c>
      <c r="T92" s="3">
        <f t="shared" si="62"/>
        <v>3.3744169300785387E-2</v>
      </c>
      <c r="U92" s="3">
        <f t="shared" si="63"/>
        <v>1.2644424150447087E-2</v>
      </c>
      <c r="V92" s="3">
        <f t="shared" si="64"/>
        <v>1.712590840944106E-2</v>
      </c>
      <c r="W92" s="3">
        <f t="shared" si="65"/>
        <v>5.2866133943014759E-3</v>
      </c>
      <c r="X92" s="3">
        <f t="shared" si="66"/>
        <v>1.4334987762241624E-2</v>
      </c>
      <c r="AK92" s="3"/>
      <c r="AL92" s="8"/>
      <c r="AW92" s="3"/>
      <c r="AY92" s="5"/>
      <c r="AZ92" s="28">
        <f t="shared" si="55"/>
        <v>44285</v>
      </c>
      <c r="BA92" s="3">
        <f t="shared" si="56"/>
        <v>87</v>
      </c>
      <c r="BB92" s="3">
        <f t="shared" si="50"/>
        <v>1.1317698767762496</v>
      </c>
      <c r="BC92" s="3">
        <f t="shared" si="51"/>
        <v>1.131819319859503</v>
      </c>
      <c r="BD92" s="3">
        <f t="shared" si="52"/>
        <v>1.2585117217611896</v>
      </c>
      <c r="BE92" s="3">
        <f t="shared" si="53"/>
        <v>0.84366878858351346</v>
      </c>
      <c r="BG92" s="3">
        <f t="shared" si="54"/>
        <v>1.4214439022343692E-2</v>
      </c>
      <c r="BH92" s="3">
        <f t="shared" si="67"/>
        <v>9.0432500068232946E-3</v>
      </c>
      <c r="BI92" s="3">
        <f t="shared" si="68"/>
        <v>9.3153394434480896E-3</v>
      </c>
      <c r="BJ92" s="3">
        <f t="shared" si="69"/>
        <v>7.6818835881605763E-3</v>
      </c>
    </row>
    <row r="93" spans="1:62" x14ac:dyDescent="0.3">
      <c r="A93" s="27">
        <v>44291</v>
      </c>
      <c r="B93" s="3">
        <v>247.56846618652301</v>
      </c>
      <c r="C93" s="3">
        <v>125.315589904785</v>
      </c>
      <c r="D93" s="3">
        <v>3226.72998046875</v>
      </c>
      <c r="E93" s="3">
        <v>2218.9599609375</v>
      </c>
      <c r="F93" s="3">
        <v>691.04998779296795</v>
      </c>
      <c r="G93" s="3">
        <v>2225.55004882812</v>
      </c>
      <c r="H93" s="3">
        <v>308.91000366210898</v>
      </c>
      <c r="I93" s="3">
        <v>139.801177978515</v>
      </c>
      <c r="J93" s="3">
        <v>262.66000366210898</v>
      </c>
      <c r="K93" s="3">
        <v>151.824935913085</v>
      </c>
      <c r="L93" s="3">
        <v>4077.90991210937</v>
      </c>
      <c r="N93" s="3">
        <f t="shared" si="49"/>
        <v>-4.8700034886479671E-3</v>
      </c>
      <c r="O93" s="3">
        <f t="shared" si="57"/>
        <v>2.4592628030664088E-3</v>
      </c>
      <c r="P93" s="3">
        <f t="shared" si="58"/>
        <v>-9.0222144925533598E-4</v>
      </c>
      <c r="Q93" s="3">
        <f t="shared" si="59"/>
        <v>-4.3809777970764685E-3</v>
      </c>
      <c r="R93" s="3">
        <f t="shared" si="60"/>
        <v>8.2450239544584747E-4</v>
      </c>
      <c r="S93" s="3">
        <f t="shared" si="61"/>
        <v>-3.5954826773920701E-4</v>
      </c>
      <c r="T93" s="3">
        <f t="shared" si="62"/>
        <v>-8.6155379179322367E-3</v>
      </c>
      <c r="U93" s="3">
        <f t="shared" si="63"/>
        <v>-9.0488849548355788E-3</v>
      </c>
      <c r="V93" s="3">
        <f t="shared" si="64"/>
        <v>1.5216996604268118E-3</v>
      </c>
      <c r="W93" s="3">
        <f t="shared" si="65"/>
        <v>-7.0550806204074945E-3</v>
      </c>
      <c r="X93" s="3">
        <f t="shared" si="66"/>
        <v>-9.7400494079558086E-4</v>
      </c>
      <c r="AK93" s="3"/>
      <c r="AL93" s="8"/>
      <c r="AW93" s="3"/>
      <c r="AY93" s="5"/>
      <c r="AZ93" s="28">
        <f t="shared" si="55"/>
        <v>44286</v>
      </c>
      <c r="BA93" s="3">
        <f t="shared" si="56"/>
        <v>88</v>
      </c>
      <c r="BB93" s="3">
        <f t="shared" si="50"/>
        <v>1.147972231562471</v>
      </c>
      <c r="BC93" s="3">
        <f t="shared" si="51"/>
        <v>1.1421010650573951</v>
      </c>
      <c r="BD93" s="3">
        <f t="shared" si="52"/>
        <v>1.2702899596129729</v>
      </c>
      <c r="BE93" s="3">
        <f t="shared" si="53"/>
        <v>0.85017471087966734</v>
      </c>
      <c r="BG93" s="3">
        <f t="shared" si="54"/>
        <v>1.7423447903919975E-2</v>
      </c>
      <c r="BH93" s="3">
        <f t="shared" si="67"/>
        <v>1.8485431936531432E-2</v>
      </c>
      <c r="BI93" s="3">
        <f t="shared" si="68"/>
        <v>1.2952440778611657E-2</v>
      </c>
      <c r="BJ93" s="3">
        <f t="shared" si="69"/>
        <v>9.6141872525714045E-3</v>
      </c>
    </row>
    <row r="94" spans="1:62" x14ac:dyDescent="0.3">
      <c r="A94" s="27">
        <v>44292</v>
      </c>
      <c r="B94" s="3">
        <v>246.36573791503901</v>
      </c>
      <c r="C94" s="3">
        <v>125.624153137207</v>
      </c>
      <c r="D94" s="3">
        <v>3223.82006835937</v>
      </c>
      <c r="E94" s="3">
        <v>2209.26000976562</v>
      </c>
      <c r="F94" s="3">
        <v>691.61999511718705</v>
      </c>
      <c r="G94" s="3">
        <v>2224.75</v>
      </c>
      <c r="H94" s="3">
        <v>306.260009765625</v>
      </c>
      <c r="I94" s="3">
        <v>138.54183959960901</v>
      </c>
      <c r="J94" s="3">
        <v>263.05999755859301</v>
      </c>
      <c r="K94" s="3">
        <v>150.757568359375</v>
      </c>
      <c r="L94" s="3">
        <v>4073.93994140625</v>
      </c>
      <c r="N94" s="3">
        <f t="shared" si="49"/>
        <v>8.1968010791113599E-3</v>
      </c>
      <c r="O94" s="3">
        <f t="shared" si="57"/>
        <v>1.3301494878055209E-2</v>
      </c>
      <c r="P94" s="3">
        <f t="shared" si="58"/>
        <v>1.7090383709311041E-2</v>
      </c>
      <c r="Q94" s="3">
        <f t="shared" si="59"/>
        <v>1.3385127201207325E-2</v>
      </c>
      <c r="R94" s="3">
        <f t="shared" si="60"/>
        <v>-3.0312281861260892E-2</v>
      </c>
      <c r="S94" s="3">
        <f t="shared" si="61"/>
        <v>1.1143403738463675E-2</v>
      </c>
      <c r="T94" s="3">
        <f t="shared" si="62"/>
        <v>2.2056231174127028E-2</v>
      </c>
      <c r="U94" s="3">
        <f t="shared" si="63"/>
        <v>2.0139944030612256E-2</v>
      </c>
      <c r="V94" s="3">
        <f t="shared" si="64"/>
        <v>2.126520002321719E-3</v>
      </c>
      <c r="W94" s="3">
        <f t="shared" si="65"/>
        <v>1.5546465100464424E-2</v>
      </c>
      <c r="X94" s="3">
        <f t="shared" si="66"/>
        <v>1.4741456981059997E-3</v>
      </c>
      <c r="AK94" s="3"/>
      <c r="AL94" s="8"/>
      <c r="AW94" s="3"/>
      <c r="AY94" s="5"/>
      <c r="AZ94" s="28">
        <f t="shared" si="55"/>
        <v>44287</v>
      </c>
      <c r="BA94" s="3">
        <f t="shared" si="56"/>
        <v>89</v>
      </c>
      <c r="BB94" s="3">
        <f t="shared" si="50"/>
        <v>1.1681491310795213</v>
      </c>
      <c r="BC94" s="3">
        <f t="shared" si="51"/>
        <v>1.1634096388776016</v>
      </c>
      <c r="BD94" s="3">
        <f t="shared" si="52"/>
        <v>1.2868503321877904</v>
      </c>
      <c r="BE94" s="3">
        <f t="shared" si="53"/>
        <v>0.85838786789870147</v>
      </c>
      <c r="BG94" s="3">
        <f t="shared" si="54"/>
        <v>2.68439663981557E-2</v>
      </c>
      <c r="BH94" s="3">
        <f t="shared" si="67"/>
        <v>2.5414825758341836E-2</v>
      </c>
      <c r="BI94" s="3">
        <f t="shared" si="68"/>
        <v>1.5688951373163174E-2</v>
      </c>
      <c r="BJ94" s="3">
        <f t="shared" si="69"/>
        <v>4.7216477237922161E-3</v>
      </c>
    </row>
    <row r="95" spans="1:62" x14ac:dyDescent="0.3">
      <c r="A95" s="27">
        <v>44293</v>
      </c>
      <c r="B95" s="3">
        <v>248.39344787597599</v>
      </c>
      <c r="C95" s="3">
        <v>127.30630493164</v>
      </c>
      <c r="D95" s="3">
        <v>3279.38989257812</v>
      </c>
      <c r="E95" s="3">
        <v>2239.03002929687</v>
      </c>
      <c r="F95" s="3">
        <v>670.969970703125</v>
      </c>
      <c r="G95" s="3">
        <v>2249.67993164062</v>
      </c>
      <c r="H95" s="3">
        <v>313.08999633789</v>
      </c>
      <c r="I95" s="3">
        <v>141.3603515625</v>
      </c>
      <c r="J95" s="3">
        <v>263.61999511718699</v>
      </c>
      <c r="K95" s="3">
        <v>153.11962890625</v>
      </c>
      <c r="L95" s="3">
        <v>4079.94995117187</v>
      </c>
      <c r="N95" s="3">
        <f t="shared" si="49"/>
        <v>1.3316302680298264E-2</v>
      </c>
      <c r="O95" s="3">
        <f t="shared" si="57"/>
        <v>1.9051238928908809E-2</v>
      </c>
      <c r="P95" s="3">
        <f t="shared" si="58"/>
        <v>6.0529428249438411E-3</v>
      </c>
      <c r="Q95" s="3">
        <f t="shared" si="59"/>
        <v>5.0785292416488659E-3</v>
      </c>
      <c r="R95" s="3">
        <f t="shared" si="60"/>
        <v>1.8941076433693027E-2</v>
      </c>
      <c r="S95" s="3">
        <f t="shared" si="61"/>
        <v>6.9810211970438019E-3</v>
      </c>
      <c r="T95" s="3">
        <f t="shared" si="62"/>
        <v>-2.2362628339589463E-4</v>
      </c>
      <c r="U95" s="3">
        <f t="shared" si="63"/>
        <v>1.2192493407149563E-2</v>
      </c>
      <c r="V95" s="3">
        <f t="shared" si="64"/>
        <v>-4.1729877692198158E-4</v>
      </c>
      <c r="W95" s="3">
        <f t="shared" si="65"/>
        <v>1.2256747039325333E-3</v>
      </c>
      <c r="X95" s="3">
        <f t="shared" si="66"/>
        <v>4.2117509405930065E-3</v>
      </c>
      <c r="AK95" s="3"/>
      <c r="AL95" s="8"/>
      <c r="AW95" s="3"/>
      <c r="AY95" s="5"/>
      <c r="AZ95" s="28">
        <f t="shared" si="55"/>
        <v>44291</v>
      </c>
      <c r="BA95" s="3">
        <f t="shared" si="56"/>
        <v>90</v>
      </c>
      <c r="BB95" s="3">
        <f t="shared" si="50"/>
        <v>1.1999315618458681</v>
      </c>
      <c r="BC95" s="3">
        <f t="shared" si="51"/>
        <v>1.1933564264271999</v>
      </c>
      <c r="BD95" s="3">
        <f t="shared" si="52"/>
        <v>1.3071988707035227</v>
      </c>
      <c r="BE95" s="3">
        <f t="shared" si="53"/>
        <v>0.8624504565298825</v>
      </c>
      <c r="BG95" s="3">
        <f t="shared" si="54"/>
        <v>-3.0202585869220089E-3</v>
      </c>
      <c r="BH95" s="3">
        <f t="shared" si="67"/>
        <v>-2.7851054935663644E-3</v>
      </c>
      <c r="BI95" s="3">
        <f t="shared" si="68"/>
        <v>-2.8203168321915273E-3</v>
      </c>
      <c r="BJ95" s="3">
        <f t="shared" si="69"/>
        <v>-2.7722492574053237E-3</v>
      </c>
    </row>
    <row r="96" spans="1:62" x14ac:dyDescent="0.3">
      <c r="A96" s="27">
        <v>44294</v>
      </c>
      <c r="B96" s="3">
        <v>251.72325134277301</v>
      </c>
      <c r="C96" s="3">
        <v>129.75489807128901</v>
      </c>
      <c r="D96" s="3">
        <v>3299.30004882812</v>
      </c>
      <c r="E96" s="3">
        <v>2250.42993164062</v>
      </c>
      <c r="F96" s="3">
        <v>683.79998779296795</v>
      </c>
      <c r="G96" s="3">
        <v>2265.43994140625</v>
      </c>
      <c r="H96" s="3">
        <v>313.01998901367102</v>
      </c>
      <c r="I96" s="3">
        <v>143.09443664550699</v>
      </c>
      <c r="J96" s="3">
        <v>263.510009765625</v>
      </c>
      <c r="K96" s="3">
        <v>153.30741882324199</v>
      </c>
      <c r="L96" s="3">
        <v>4097.169921875</v>
      </c>
      <c r="N96" s="3">
        <f t="shared" si="49"/>
        <v>1.0214230444962169E-2</v>
      </c>
      <c r="O96" s="3">
        <f t="shared" si="57"/>
        <v>2.0049050305204652E-2</v>
      </c>
      <c r="P96" s="3">
        <f t="shared" si="58"/>
        <v>2.1854996323169118E-2</v>
      </c>
      <c r="Q96" s="3">
        <f t="shared" si="59"/>
        <v>8.9536290308647182E-3</v>
      </c>
      <c r="R96" s="3">
        <f t="shared" si="60"/>
        <v>-9.9646159311861382E-3</v>
      </c>
      <c r="S96" s="3">
        <f t="shared" si="61"/>
        <v>8.9820446003114895E-3</v>
      </c>
      <c r="T96" s="3">
        <f t="shared" si="62"/>
        <v>-1.7906175280000269E-3</v>
      </c>
      <c r="U96" s="3">
        <f t="shared" si="63"/>
        <v>5.7805460685127485E-3</v>
      </c>
      <c r="V96" s="3">
        <f t="shared" si="64"/>
        <v>9.4425837862868178E-3</v>
      </c>
      <c r="W96" s="3">
        <f t="shared" si="65"/>
        <v>7.4503142019581858E-3</v>
      </c>
      <c r="X96" s="3">
        <f t="shared" si="66"/>
        <v>7.6902881356879504E-3</v>
      </c>
      <c r="AK96" s="3"/>
      <c r="AL96" s="8"/>
      <c r="AW96" s="3"/>
      <c r="AY96" s="5"/>
      <c r="AZ96" s="28">
        <f t="shared" si="55"/>
        <v>44292</v>
      </c>
      <c r="BA96" s="3">
        <f t="shared" si="56"/>
        <v>91</v>
      </c>
      <c r="BB96" s="3">
        <f t="shared" si="50"/>
        <v>1.1963129256018337</v>
      </c>
      <c r="BC96" s="3">
        <f t="shared" si="51"/>
        <v>1.1900374269154659</v>
      </c>
      <c r="BD96" s="3">
        <f t="shared" si="52"/>
        <v>1.3035173496935839</v>
      </c>
      <c r="BE96" s="3">
        <f t="shared" si="53"/>
        <v>0.86006283995549837</v>
      </c>
      <c r="BG96" s="3">
        <f t="shared" si="54"/>
        <v>8.476483727476114E-3</v>
      </c>
      <c r="BH96" s="3">
        <f t="shared" si="67"/>
        <v>1.0104729677086394E-2</v>
      </c>
      <c r="BI96" s="3">
        <f t="shared" si="68"/>
        <v>8.3623383062615964E-3</v>
      </c>
      <c r="BJ96" s="3">
        <f t="shared" si="69"/>
        <v>9.1499477457409883E-3</v>
      </c>
    </row>
    <row r="97" spans="1:62" x14ac:dyDescent="0.3">
      <c r="A97" s="27">
        <v>44295</v>
      </c>
      <c r="B97" s="3">
        <v>254.30758666992099</v>
      </c>
      <c r="C97" s="3">
        <v>132.38261413574199</v>
      </c>
      <c r="D97" s="3">
        <v>3372.19995117187</v>
      </c>
      <c r="E97" s="3">
        <v>2270.669921875</v>
      </c>
      <c r="F97" s="3">
        <v>677.02001953125</v>
      </c>
      <c r="G97" s="3">
        <v>2285.8798828125</v>
      </c>
      <c r="H97" s="3">
        <v>312.45999145507801</v>
      </c>
      <c r="I97" s="3">
        <v>143.92399597167901</v>
      </c>
      <c r="J97" s="3">
        <v>266.010009765625</v>
      </c>
      <c r="K97" s="3">
        <v>154.45387268066401</v>
      </c>
      <c r="L97" s="3">
        <v>4128.7998046875</v>
      </c>
      <c r="N97" s="3">
        <f t="shared" si="49"/>
        <v>2.3445764319607321E-4</v>
      </c>
      <c r="O97" s="3">
        <f t="shared" si="57"/>
        <v>-1.3321193959477284E-2</v>
      </c>
      <c r="P97" s="3">
        <f t="shared" si="58"/>
        <v>2.1298521653729807E-3</v>
      </c>
      <c r="Q97" s="3">
        <f t="shared" si="59"/>
        <v>-1.1538613680725618E-2</v>
      </c>
      <c r="R97" s="3">
        <f t="shared" si="60"/>
        <v>3.6204042346128951E-2</v>
      </c>
      <c r="S97" s="3">
        <f t="shared" si="61"/>
        <v>-1.3694159734122913E-2</v>
      </c>
      <c r="T97" s="3">
        <f t="shared" si="62"/>
        <v>-2.9486653100407878E-3</v>
      </c>
      <c r="U97" s="3">
        <f t="shared" si="63"/>
        <v>5.4659211069434832E-2</v>
      </c>
      <c r="V97" s="3">
        <f t="shared" si="64"/>
        <v>7.1917862560688661E-3</v>
      </c>
      <c r="W97" s="3">
        <f t="shared" si="65"/>
        <v>-2.113909251637125E-3</v>
      </c>
      <c r="X97" s="3">
        <f t="shared" si="66"/>
        <v>-1.9609807474019192E-4</v>
      </c>
      <c r="AK97" s="3"/>
      <c r="AL97" s="8"/>
      <c r="AW97" s="3"/>
      <c r="AY97" s="5"/>
      <c r="AZ97" s="28">
        <f t="shared" si="55"/>
        <v>44293</v>
      </c>
      <c r="BA97" s="3">
        <f t="shared" si="56"/>
        <v>92</v>
      </c>
      <c r="BB97" s="3">
        <f t="shared" si="50"/>
        <v>1.2064965523468112</v>
      </c>
      <c r="BC97" s="3">
        <f t="shared" si="51"/>
        <v>1.2021233932947795</v>
      </c>
      <c r="BD97" s="3">
        <f t="shared" si="52"/>
        <v>1.3144635067063788</v>
      </c>
      <c r="BE97" s="3">
        <f t="shared" si="53"/>
        <v>0.86796848295333207</v>
      </c>
      <c r="BG97" s="3">
        <f t="shared" si="54"/>
        <v>8.204717267770445E-3</v>
      </c>
      <c r="BH97" s="3">
        <f t="shared" si="67"/>
        <v>6.9575342536080942E-3</v>
      </c>
      <c r="BI97" s="3">
        <f t="shared" si="68"/>
        <v>8.2807866987932854E-3</v>
      </c>
      <c r="BJ97" s="3">
        <f t="shared" si="69"/>
        <v>9.282157337082042E-3</v>
      </c>
    </row>
    <row r="98" spans="1:62" x14ac:dyDescent="0.3">
      <c r="A98" s="27">
        <v>44298</v>
      </c>
      <c r="B98" s="3">
        <v>254.36721801757801</v>
      </c>
      <c r="C98" s="3">
        <v>130.63081359863199</v>
      </c>
      <c r="D98" s="3">
        <v>3379.38989257812</v>
      </c>
      <c r="E98" s="3">
        <v>2244.6201171875</v>
      </c>
      <c r="F98" s="3">
        <v>701.97998046875</v>
      </c>
      <c r="G98" s="3">
        <v>2254.7900390625</v>
      </c>
      <c r="H98" s="3">
        <v>311.54000854492102</v>
      </c>
      <c r="I98" s="3">
        <v>152.00973510742099</v>
      </c>
      <c r="J98" s="3">
        <v>267.92999267578102</v>
      </c>
      <c r="K98" s="3">
        <v>154.12771606445301</v>
      </c>
      <c r="L98" s="3">
        <v>4127.990234375</v>
      </c>
      <c r="N98" s="3">
        <f t="shared" si="49"/>
        <v>1.0031215335689403E-2</v>
      </c>
      <c r="O98" s="3">
        <f t="shared" si="57"/>
        <v>2.4015746129835591E-2</v>
      </c>
      <c r="P98" s="3">
        <f t="shared" si="58"/>
        <v>6.0802435746065697E-3</v>
      </c>
      <c r="Q98" s="3">
        <f t="shared" si="59"/>
        <v>4.3608450196055415E-3</v>
      </c>
      <c r="R98" s="3">
        <f t="shared" si="60"/>
        <v>8.2461538879346818E-2</v>
      </c>
      <c r="S98" s="3">
        <f t="shared" si="61"/>
        <v>5.5196136237718463E-3</v>
      </c>
      <c r="T98" s="3">
        <f t="shared" si="62"/>
        <v>-5.729932711830088E-3</v>
      </c>
      <c r="U98" s="3">
        <f t="shared" si="63"/>
        <v>3.0466656682080817E-2</v>
      </c>
      <c r="V98" s="3">
        <f t="shared" si="64"/>
        <v>-3.102582060625636E-3</v>
      </c>
      <c r="W98" s="3">
        <f t="shared" si="65"/>
        <v>-1.199863707844262E-2</v>
      </c>
      <c r="X98" s="3">
        <f t="shared" si="66"/>
        <v>3.2890718770630656E-3</v>
      </c>
      <c r="AK98" s="3"/>
      <c r="AL98" s="8"/>
      <c r="AW98" s="3"/>
      <c r="AY98" s="5"/>
      <c r="AZ98" s="28">
        <f t="shared" si="55"/>
        <v>44294</v>
      </c>
      <c r="BA98" s="3">
        <f t="shared" si="56"/>
        <v>93</v>
      </c>
      <c r="BB98" s="3">
        <f t="shared" si="50"/>
        <v>1.2164362358303171</v>
      </c>
      <c r="BC98" s="3">
        <f t="shared" si="51"/>
        <v>1.2105163713400668</v>
      </c>
      <c r="BD98" s="3">
        <f t="shared" si="52"/>
        <v>1.3253934906044234</v>
      </c>
      <c r="BE98" s="3">
        <f t="shared" si="53"/>
        <v>0.8760626103429997</v>
      </c>
      <c r="BG98" s="3">
        <f t="shared" si="54"/>
        <v>7.6586612012847499E-3</v>
      </c>
      <c r="BH98" s="3">
        <f t="shared" si="67"/>
        <v>9.1682560902212051E-3</v>
      </c>
      <c r="BI98" s="3">
        <f t="shared" si="68"/>
        <v>9.5378190968557486E-3</v>
      </c>
      <c r="BJ98" s="3">
        <f t="shared" si="69"/>
        <v>1.2065034244212611E-2</v>
      </c>
    </row>
    <row r="99" spans="1:62" x14ac:dyDescent="0.3">
      <c r="A99" s="27">
        <v>44299</v>
      </c>
      <c r="B99" s="3">
        <v>256.93167114257801</v>
      </c>
      <c r="C99" s="3">
        <v>133.80598449707</v>
      </c>
      <c r="D99" s="3">
        <v>3400</v>
      </c>
      <c r="E99" s="3">
        <v>2254.42993164062</v>
      </c>
      <c r="F99" s="3">
        <v>762.32000732421795</v>
      </c>
      <c r="G99" s="3">
        <v>2267.27001953125</v>
      </c>
      <c r="H99" s="3">
        <v>309.760009765625</v>
      </c>
      <c r="I99" s="3">
        <v>156.71223449707</v>
      </c>
      <c r="J99" s="3">
        <v>267.100006103515</v>
      </c>
      <c r="K99" s="3">
        <v>152.28944396972599</v>
      </c>
      <c r="L99" s="3">
        <v>4141.58984375</v>
      </c>
      <c r="N99" s="3">
        <f t="shared" si="49"/>
        <v>-1.1282431938511195E-2</v>
      </c>
      <c r="O99" s="3">
        <f t="shared" si="57"/>
        <v>-1.8014414704642157E-2</v>
      </c>
      <c r="P99" s="3">
        <f t="shared" si="58"/>
        <v>-1.9902632296512124E-2</v>
      </c>
      <c r="Q99" s="3">
        <f t="shared" si="59"/>
        <v>-5.5689971505801239E-3</v>
      </c>
      <c r="R99" s="3">
        <f t="shared" si="60"/>
        <v>-4.0271779062688751E-2</v>
      </c>
      <c r="S99" s="3">
        <f t="shared" si="61"/>
        <v>-5.4974172011332811E-3</v>
      </c>
      <c r="T99" s="3">
        <f t="shared" si="62"/>
        <v>-2.2659241847704514E-2</v>
      </c>
      <c r="U99" s="3">
        <f t="shared" si="63"/>
        <v>-2.6005581318591986E-2</v>
      </c>
      <c r="V99" s="3">
        <f t="shared" si="64"/>
        <v>1.6085620506514076E-3</v>
      </c>
      <c r="W99" s="3">
        <f t="shared" si="65"/>
        <v>-1.8867126411301172E-2</v>
      </c>
      <c r="X99" s="3">
        <f t="shared" si="66"/>
        <v>-4.096104320730376E-3</v>
      </c>
      <c r="AK99" s="3"/>
      <c r="AL99" s="8"/>
      <c r="AW99" s="3"/>
      <c r="AY99" s="5"/>
      <c r="AZ99" s="28">
        <f t="shared" si="55"/>
        <v>44295</v>
      </c>
      <c r="BA99" s="3">
        <f t="shared" si="56"/>
        <v>94</v>
      </c>
      <c r="BB99" s="3">
        <f t="shared" si="50"/>
        <v>1.2257882751719213</v>
      </c>
      <c r="BC99" s="3">
        <f t="shared" si="51"/>
        <v>1.2216657274115019</v>
      </c>
      <c r="BD99" s="3">
        <f t="shared" si="52"/>
        <v>1.3380953315903326</v>
      </c>
      <c r="BE99" s="3">
        <f t="shared" si="53"/>
        <v>0.88669635499204391</v>
      </c>
      <c r="BG99" s="3">
        <f t="shared" si="54"/>
        <v>5.6698225252332923E-3</v>
      </c>
      <c r="BH99" s="3">
        <f t="shared" si="67"/>
        <v>1.7721689745674452E-3</v>
      </c>
      <c r="BI99" s="3">
        <f t="shared" si="68"/>
        <v>1.4378100635272562E-2</v>
      </c>
      <c r="BJ99" s="3">
        <f t="shared" si="69"/>
        <v>2.4823876360801037E-2</v>
      </c>
    </row>
    <row r="100" spans="1:62" x14ac:dyDescent="0.3">
      <c r="A100" s="27">
        <v>44300</v>
      </c>
      <c r="B100" s="3">
        <v>254.04914855957</v>
      </c>
      <c r="C100" s="3">
        <v>131.41712951660099</v>
      </c>
      <c r="D100" s="3">
        <v>3333</v>
      </c>
      <c r="E100" s="3">
        <v>2241.90991210937</v>
      </c>
      <c r="F100" s="3">
        <v>732.22998046875</v>
      </c>
      <c r="G100" s="3">
        <v>2254.84008789062</v>
      </c>
      <c r="H100" s="3">
        <v>302.82000732421801</v>
      </c>
      <c r="I100" s="3">
        <v>152.68937683105401</v>
      </c>
      <c r="J100" s="3">
        <v>267.52999877929602</v>
      </c>
      <c r="K100" s="3">
        <v>149.443115234375</v>
      </c>
      <c r="L100" s="3">
        <v>4124.66015625</v>
      </c>
      <c r="N100" s="3">
        <f t="shared" si="49"/>
        <v>1.5182107146421764E-2</v>
      </c>
      <c r="O100" s="3">
        <f t="shared" si="57"/>
        <v>1.8534970632718029E-2</v>
      </c>
      <c r="P100" s="3">
        <f t="shared" si="58"/>
        <v>1.3733669161128503E-2</v>
      </c>
      <c r="Q100" s="3">
        <f t="shared" si="59"/>
        <v>1.9147285640730871E-2</v>
      </c>
      <c r="R100" s="3">
        <f t="shared" si="60"/>
        <v>9.0002447212702563E-3</v>
      </c>
      <c r="S100" s="3">
        <f t="shared" si="61"/>
        <v>1.8376799347564088E-2</v>
      </c>
      <c r="T100" s="3">
        <f t="shared" si="62"/>
        <v>1.6376626578710862E-2</v>
      </c>
      <c r="U100" s="3">
        <f t="shared" si="63"/>
        <v>5.4781748427834565E-2</v>
      </c>
      <c r="V100" s="3">
        <f t="shared" si="64"/>
        <v>6.0000397226085411E-3</v>
      </c>
      <c r="W100" s="3">
        <f t="shared" si="65"/>
        <v>6.3286767093941876E-3</v>
      </c>
      <c r="X100" s="3">
        <f t="shared" si="66"/>
        <v>1.1033101401119794E-2</v>
      </c>
      <c r="AK100" s="3"/>
      <c r="AL100" s="8"/>
      <c r="AW100" s="3"/>
      <c r="AY100" s="5"/>
      <c r="AZ100" s="28">
        <f t="shared" si="55"/>
        <v>44298</v>
      </c>
      <c r="BA100" s="3">
        <f t="shared" si="56"/>
        <v>95</v>
      </c>
      <c r="BB100" s="3">
        <f t="shared" si="50"/>
        <v>1.2327580170741919</v>
      </c>
      <c r="BC100" s="3">
        <f t="shared" si="51"/>
        <v>1.2238326450158721</v>
      </c>
      <c r="BD100" s="3">
        <f t="shared" si="52"/>
        <v>1.3574735782808163</v>
      </c>
      <c r="BE100" s="3">
        <f t="shared" si="53"/>
        <v>0.90898307258158151</v>
      </c>
      <c r="BG100" s="3">
        <f t="shared" si="54"/>
        <v>1.5414041368012582E-2</v>
      </c>
      <c r="BH100" s="3">
        <f t="shared" si="67"/>
        <v>8.8764553481368302E-3</v>
      </c>
      <c r="BI100" s="3">
        <f t="shared" si="68"/>
        <v>1.5001465741338427E-2</v>
      </c>
      <c r="BJ100" s="3">
        <f t="shared" si="69"/>
        <v>1.654380836516163E-2</v>
      </c>
    </row>
    <row r="101" spans="1:62" x14ac:dyDescent="0.3">
      <c r="A101" s="27">
        <v>44301</v>
      </c>
      <c r="B101" s="3">
        <v>257.93557739257801</v>
      </c>
      <c r="C101" s="3">
        <v>133.87565612792901</v>
      </c>
      <c r="D101" s="3">
        <v>3379.09008789062</v>
      </c>
      <c r="E101" s="3">
        <v>2285.25</v>
      </c>
      <c r="F101" s="3">
        <v>738.84997558593705</v>
      </c>
      <c r="G101" s="3">
        <v>2296.65991210937</v>
      </c>
      <c r="H101" s="3">
        <v>307.82000732421801</v>
      </c>
      <c r="I101" s="3">
        <v>161.28732299804599</v>
      </c>
      <c r="J101" s="3">
        <v>269.14001464843699</v>
      </c>
      <c r="K101" s="3">
        <v>150.39189147949199</v>
      </c>
      <c r="L101" s="3">
        <v>4170.419921875</v>
      </c>
      <c r="N101" s="3">
        <f t="shared" si="49"/>
        <v>4.766996784179689E-3</v>
      </c>
      <c r="O101" s="3">
        <f t="shared" si="57"/>
        <v>-2.5308750832389038E-3</v>
      </c>
      <c r="P101" s="3">
        <f t="shared" si="58"/>
        <v>6.0042264512318866E-3</v>
      </c>
      <c r="Q101" s="3">
        <f t="shared" si="59"/>
        <v>-1.0945710374787865E-3</v>
      </c>
      <c r="R101" s="3">
        <f t="shared" si="60"/>
        <v>1.2579939951455898E-3</v>
      </c>
      <c r="S101" s="3">
        <f t="shared" si="61"/>
        <v>4.7888425349906782E-4</v>
      </c>
      <c r="T101" s="3">
        <f t="shared" si="62"/>
        <v>-5.3420799629915194E-3</v>
      </c>
      <c r="U101" s="3">
        <f t="shared" si="63"/>
        <v>-1.4025356428573943E-2</v>
      </c>
      <c r="V101" s="3">
        <f t="shared" si="64"/>
        <v>1.0974597735300406E-2</v>
      </c>
      <c r="W101" s="3">
        <f t="shared" si="65"/>
        <v>7.3985355798651398E-3</v>
      </c>
      <c r="X101" s="3">
        <f t="shared" si="66"/>
        <v>3.602323390516915E-3</v>
      </c>
      <c r="AK101" s="3"/>
      <c r="AL101" s="8"/>
      <c r="AW101" s="3"/>
      <c r="AY101" s="5"/>
      <c r="AZ101" s="28">
        <f t="shared" si="55"/>
        <v>44299</v>
      </c>
      <c r="BA101" s="3">
        <f t="shared" si="56"/>
        <v>96</v>
      </c>
      <c r="BB101" s="3">
        <f t="shared" si="50"/>
        <v>1.2519070026372165</v>
      </c>
      <c r="BC101" s="3">
        <f t="shared" si="51"/>
        <v>1.2347442975960736</v>
      </c>
      <c r="BD101" s="3">
        <f t="shared" si="52"/>
        <v>1.3779911839606676</v>
      </c>
      <c r="BE101" s="3">
        <f t="shared" si="53"/>
        <v>0.92414619640798124</v>
      </c>
      <c r="BG101" s="3">
        <f t="shared" si="54"/>
        <v>-1.7062776272249919E-2</v>
      </c>
      <c r="BH101" s="3">
        <f t="shared" si="67"/>
        <v>-1.3686527069593085E-2</v>
      </c>
      <c r="BI101" s="3">
        <f t="shared" si="68"/>
        <v>-1.8012538030836522E-2</v>
      </c>
      <c r="BJ101" s="3">
        <f t="shared" si="69"/>
        <v>-2.0148778868372547E-2</v>
      </c>
    </row>
    <row r="102" spans="1:62" x14ac:dyDescent="0.3">
      <c r="A102" s="27">
        <v>44302</v>
      </c>
      <c r="B102" s="3">
        <v>259.16809082031199</v>
      </c>
      <c r="C102" s="3">
        <v>133.53726196289</v>
      </c>
      <c r="D102" s="3">
        <v>3399.43994140625</v>
      </c>
      <c r="E102" s="3">
        <v>2282.75</v>
      </c>
      <c r="F102" s="3">
        <v>739.780029296875</v>
      </c>
      <c r="G102" s="3">
        <v>2297.76000976562</v>
      </c>
      <c r="H102" s="3">
        <v>306.17999267578102</v>
      </c>
      <c r="I102" s="3">
        <v>159.04100036621</v>
      </c>
      <c r="J102" s="3">
        <v>272.10998535156199</v>
      </c>
      <c r="K102" s="3">
        <v>151.508697509765</v>
      </c>
      <c r="L102" s="3">
        <v>4185.47021484375</v>
      </c>
      <c r="N102" s="3">
        <f t="shared" si="49"/>
        <v>-7.7000568219647292E-3</v>
      </c>
      <c r="O102" s="3">
        <f t="shared" si="57"/>
        <v>5.0557020743591252E-3</v>
      </c>
      <c r="P102" s="3">
        <f t="shared" si="58"/>
        <v>-8.1016863076186496E-3</v>
      </c>
      <c r="Q102" s="3">
        <f t="shared" si="59"/>
        <v>3.0661563310259154E-3</v>
      </c>
      <c r="R102" s="3">
        <f t="shared" si="60"/>
        <v>-3.4587951232579073E-2</v>
      </c>
      <c r="S102" s="3">
        <f t="shared" si="61"/>
        <v>2.0172751557527846E-3</v>
      </c>
      <c r="T102" s="3">
        <f t="shared" si="62"/>
        <v>-1.2951768940280495E-2</v>
      </c>
      <c r="U102" s="3">
        <f t="shared" si="63"/>
        <v>-3.5224212411693934E-2</v>
      </c>
      <c r="V102" s="3">
        <f t="shared" si="64"/>
        <v>-6.7478883079923335E-3</v>
      </c>
      <c r="W102" s="3">
        <f t="shared" si="65"/>
        <v>-4.2492042567587873E-3</v>
      </c>
      <c r="X102" s="3">
        <f t="shared" si="66"/>
        <v>-5.3206898937574465E-3</v>
      </c>
      <c r="AK102" s="3"/>
      <c r="AL102" s="8"/>
      <c r="AW102" s="3"/>
      <c r="AY102" s="5"/>
      <c r="AZ102" s="28">
        <f t="shared" si="55"/>
        <v>44300</v>
      </c>
      <c r="BA102" s="3">
        <f t="shared" si="56"/>
        <v>97</v>
      </c>
      <c r="BB102" s="3">
        <f t="shared" si="50"/>
        <v>1.2307272005020817</v>
      </c>
      <c r="BC102" s="3">
        <f t="shared" si="51"/>
        <v>1.2179600573250093</v>
      </c>
      <c r="BD102" s="3">
        <f t="shared" si="52"/>
        <v>1.3533922748389919</v>
      </c>
      <c r="BE102" s="3">
        <f t="shared" si="53"/>
        <v>0.90571211481253955</v>
      </c>
      <c r="BG102" s="3">
        <f t="shared" si="54"/>
        <v>1.7474734505043416E-2</v>
      </c>
      <c r="BH102" s="3">
        <f t="shared" si="67"/>
        <v>1.5717176546570399E-2</v>
      </c>
      <c r="BI102" s="3">
        <f t="shared" si="68"/>
        <v>1.8479429456856433E-2</v>
      </c>
      <c r="BJ102" s="3">
        <f t="shared" si="69"/>
        <v>2.1590841087437238E-2</v>
      </c>
    </row>
    <row r="103" spans="1:62" x14ac:dyDescent="0.3">
      <c r="A103" s="27">
        <v>44305</v>
      </c>
      <c r="B103" s="3">
        <v>257.18014526367102</v>
      </c>
      <c r="C103" s="3">
        <v>134.214096069335</v>
      </c>
      <c r="D103" s="3">
        <v>3372.01000976562</v>
      </c>
      <c r="E103" s="3">
        <v>2289.76000976562</v>
      </c>
      <c r="F103" s="3">
        <v>714.63000488281205</v>
      </c>
      <c r="G103" s="3">
        <v>2302.39990234375</v>
      </c>
      <c r="H103" s="3">
        <v>302.239990234375</v>
      </c>
      <c r="I103" s="3">
        <v>153.53642272949199</v>
      </c>
      <c r="J103" s="3">
        <v>270.27999877929602</v>
      </c>
      <c r="K103" s="3">
        <v>150.86627197265599</v>
      </c>
      <c r="L103" s="3">
        <v>4163.259765625</v>
      </c>
      <c r="N103" s="3">
        <f t="shared" si="49"/>
        <v>-1.8567698937248522E-3</v>
      </c>
      <c r="O103" s="3">
        <f t="shared" si="57"/>
        <v>-1.2913036042157877E-2</v>
      </c>
      <c r="P103" s="3">
        <f t="shared" si="58"/>
        <v>-1.112930467741613E-2</v>
      </c>
      <c r="Q103" s="3">
        <f t="shared" si="59"/>
        <v>-4.7058704169655741E-3</v>
      </c>
      <c r="R103" s="3">
        <f t="shared" si="60"/>
        <v>6.0825027671835841E-3</v>
      </c>
      <c r="S103" s="3">
        <f t="shared" si="61"/>
        <v>-3.816350452662931E-3</v>
      </c>
      <c r="T103" s="3">
        <f t="shared" si="62"/>
        <v>1.355630728414603E-3</v>
      </c>
      <c r="U103" s="3">
        <f t="shared" si="63"/>
        <v>-1.2478445174392228E-2</v>
      </c>
      <c r="V103" s="3">
        <f t="shared" si="64"/>
        <v>-8.8819509938184993E-3</v>
      </c>
      <c r="W103" s="3">
        <f t="shared" si="65"/>
        <v>-2.2390838335861751E-2</v>
      </c>
      <c r="X103" s="3">
        <f t="shared" si="66"/>
        <v>-6.8255610050780291E-3</v>
      </c>
      <c r="AK103" s="3"/>
      <c r="AL103" s="8"/>
      <c r="AW103" s="3"/>
      <c r="AY103" s="5"/>
      <c r="AZ103" s="28">
        <f t="shared" si="55"/>
        <v>44301</v>
      </c>
      <c r="BA103" s="3">
        <f t="shared" si="56"/>
        <v>98</v>
      </c>
      <c r="BB103" s="3">
        <f t="shared" si="50"/>
        <v>1.2524228422785431</v>
      </c>
      <c r="BC103" s="3">
        <f t="shared" si="51"/>
        <v>1.2372541779393256</v>
      </c>
      <c r="BD103" s="3">
        <f t="shared" si="52"/>
        <v>1.3786347064454652</v>
      </c>
      <c r="BE103" s="3">
        <f t="shared" si="53"/>
        <v>0.92547983408585499</v>
      </c>
      <c r="BG103" s="3">
        <f t="shared" si="54"/>
        <v>8.3593034288301227E-4</v>
      </c>
      <c r="BH103" s="3">
        <f t="shared" si="67"/>
        <v>2.2848847505587688E-3</v>
      </c>
      <c r="BI103" s="3">
        <f t="shared" si="68"/>
        <v>2.1803531525640962E-3</v>
      </c>
      <c r="BJ103" s="3">
        <f t="shared" si="69"/>
        <v>2.47617146950041E-3</v>
      </c>
    </row>
    <row r="104" spans="1:62" x14ac:dyDescent="0.3">
      <c r="A104" s="27">
        <v>44306</v>
      </c>
      <c r="B104" s="3">
        <v>256.70306396484301</v>
      </c>
      <c r="C104" s="3">
        <v>132.49212646484301</v>
      </c>
      <c r="D104" s="3">
        <v>3334.68994140625</v>
      </c>
      <c r="E104" s="3">
        <v>2279.01000976562</v>
      </c>
      <c r="F104" s="3">
        <v>718.989990234375</v>
      </c>
      <c r="G104" s="3">
        <v>2293.6298828125</v>
      </c>
      <c r="H104" s="3">
        <v>302.64999389648398</v>
      </c>
      <c r="I104" s="3">
        <v>151.63243103027301</v>
      </c>
      <c r="J104" s="3">
        <v>267.89001464843699</v>
      </c>
      <c r="K104" s="3">
        <v>147.525787353515</v>
      </c>
      <c r="L104" s="3">
        <v>4134.93994140625</v>
      </c>
      <c r="N104" s="3">
        <f t="shared" si="49"/>
        <v>8.9430323667567535E-3</v>
      </c>
      <c r="O104" s="3">
        <f t="shared" si="57"/>
        <v>2.9255779214114597E-3</v>
      </c>
      <c r="P104" s="3">
        <f t="shared" si="58"/>
        <v>8.1622856651559772E-3</v>
      </c>
      <c r="Q104" s="3">
        <f t="shared" si="59"/>
        <v>-2.8960279566536684E-4</v>
      </c>
      <c r="R104" s="3">
        <f t="shared" si="60"/>
        <v>3.4354869751860306E-2</v>
      </c>
      <c r="S104" s="3">
        <f t="shared" si="61"/>
        <v>-1.481795001483377E-4</v>
      </c>
      <c r="T104" s="3">
        <f t="shared" si="62"/>
        <v>-3.9064893926381572E-3</v>
      </c>
      <c r="U104" s="3">
        <f t="shared" si="63"/>
        <v>1.2397047831430363E-2</v>
      </c>
      <c r="V104" s="3">
        <f t="shared" si="64"/>
        <v>1.5997292670793861E-2</v>
      </c>
      <c r="W104" s="3">
        <f t="shared" si="65"/>
        <v>8.4719626486151611E-3</v>
      </c>
      <c r="X104" s="3">
        <f t="shared" si="66"/>
        <v>9.2630209198532043E-3</v>
      </c>
      <c r="AK104" s="3"/>
      <c r="AL104" s="8"/>
      <c r="AW104" s="3"/>
      <c r="AY104" s="5"/>
      <c r="AZ104" s="28">
        <f t="shared" si="55"/>
        <v>44302</v>
      </c>
      <c r="BA104" s="3">
        <f t="shared" si="56"/>
        <v>99</v>
      </c>
      <c r="BB104" s="3">
        <f t="shared" si="50"/>
        <v>1.2534702182402064</v>
      </c>
      <c r="BC104" s="3">
        <f t="shared" si="51"/>
        <v>1.2400843932696806</v>
      </c>
      <c r="BD104" s="3">
        <f t="shared" si="52"/>
        <v>1.3816438963300981</v>
      </c>
      <c r="BE104" s="3">
        <f t="shared" si="53"/>
        <v>0.9277743204450738</v>
      </c>
      <c r="BG104" s="3">
        <f t="shared" si="54"/>
        <v>-1.0245437197631962E-2</v>
      </c>
      <c r="BH104" s="3">
        <f t="shared" si="67"/>
        <v>-7.1894473098064182E-3</v>
      </c>
      <c r="BI104" s="3">
        <f t="shared" si="68"/>
        <v>-1.3628192190883182E-2</v>
      </c>
      <c r="BJ104" s="3">
        <f t="shared" si="69"/>
        <v>-1.8135456593269331E-2</v>
      </c>
    </row>
    <row r="105" spans="1:62" x14ac:dyDescent="0.3">
      <c r="A105" s="27">
        <v>44307</v>
      </c>
      <c r="B105" s="3">
        <v>259.00906372070301</v>
      </c>
      <c r="C105" s="3">
        <v>132.88031005859301</v>
      </c>
      <c r="D105" s="3">
        <v>3362.02001953125</v>
      </c>
      <c r="E105" s="3">
        <v>2278.35009765625</v>
      </c>
      <c r="F105" s="3">
        <v>744.11999511718705</v>
      </c>
      <c r="G105" s="3">
        <v>2293.2900390625</v>
      </c>
      <c r="H105" s="3">
        <v>301.47000122070301</v>
      </c>
      <c r="I105" s="3">
        <v>153.52392578125</v>
      </c>
      <c r="J105" s="3">
        <v>272.20999145507801</v>
      </c>
      <c r="K105" s="3">
        <v>148.78092956542901</v>
      </c>
      <c r="L105" s="3">
        <v>4173.419921875</v>
      </c>
      <c r="N105" s="3">
        <f t="shared" si="49"/>
        <v>-1.317254118522726E-2</v>
      </c>
      <c r="O105" s="3">
        <f t="shared" si="57"/>
        <v>-1.1754135167823421E-2</v>
      </c>
      <c r="P105" s="3">
        <f t="shared" si="58"/>
        <v>-1.5883860702706087E-2</v>
      </c>
      <c r="Q105" s="3">
        <f t="shared" si="59"/>
        <v>-1.1401941477618749E-2</v>
      </c>
      <c r="R105" s="3">
        <f t="shared" si="60"/>
        <v>-3.3381738456734311E-2</v>
      </c>
      <c r="S105" s="3">
        <f t="shared" si="61"/>
        <v>-1.1124407356259525E-2</v>
      </c>
      <c r="T105" s="3">
        <f t="shared" si="62"/>
        <v>-1.6555880040514559E-2</v>
      </c>
      <c r="U105" s="3">
        <f t="shared" si="63"/>
        <v>-3.3782482330644292E-2</v>
      </c>
      <c r="V105" s="3">
        <f t="shared" si="64"/>
        <v>-9.9682641977247854E-3</v>
      </c>
      <c r="W105" s="3">
        <f t="shared" si="65"/>
        <v>-2.1282444792586119E-2</v>
      </c>
      <c r="X105" s="3">
        <f t="shared" si="66"/>
        <v>-9.2533378605548222E-3</v>
      </c>
      <c r="AK105" s="3"/>
      <c r="AL105" s="8"/>
      <c r="AW105" s="3"/>
      <c r="AY105" s="5"/>
      <c r="AZ105" s="28">
        <f t="shared" si="55"/>
        <v>44305</v>
      </c>
      <c r="BA105" s="3">
        <f t="shared" si="56"/>
        <v>100</v>
      </c>
      <c r="BB105" s="3">
        <f t="shared" si="50"/>
        <v>1.2406934314869227</v>
      </c>
      <c r="BC105" s="3">
        <f t="shared" si="51"/>
        <v>1.2312008440336211</v>
      </c>
      <c r="BD105" s="3">
        <f t="shared" si="52"/>
        <v>1.362942311616105</v>
      </c>
      <c r="BE105" s="3">
        <f t="shared" si="53"/>
        <v>0.91110036145373086</v>
      </c>
      <c r="BG105" s="3">
        <f t="shared" si="54"/>
        <v>-6.8644227375434796E-3</v>
      </c>
      <c r="BH105" s="3">
        <f t="shared" si="67"/>
        <v>-7.7955254961676046E-3</v>
      </c>
      <c r="BI105" s="3">
        <f t="shared" si="68"/>
        <v>-1.2142724052886744E-2</v>
      </c>
      <c r="BJ105" s="3">
        <f t="shared" si="69"/>
        <v>-1.7076876548903178E-2</v>
      </c>
    </row>
    <row r="106" spans="1:62" x14ac:dyDescent="0.3">
      <c r="A106" s="27">
        <v>44308</v>
      </c>
      <c r="B106" s="3">
        <v>255.61962890625</v>
      </c>
      <c r="C106" s="3">
        <v>131.32756042480401</v>
      </c>
      <c r="D106" s="3">
        <v>3309.0400390625</v>
      </c>
      <c r="E106" s="3">
        <v>2252.52001953125</v>
      </c>
      <c r="F106" s="3">
        <v>719.69000244140602</v>
      </c>
      <c r="G106" s="3">
        <v>2267.919921875</v>
      </c>
      <c r="H106" s="3">
        <v>296.51998901367102</v>
      </c>
      <c r="I106" s="3">
        <v>148.42413330078099</v>
      </c>
      <c r="J106" s="3">
        <v>269.510009765625</v>
      </c>
      <c r="K106" s="3">
        <v>145.64796447753901</v>
      </c>
      <c r="L106" s="3">
        <v>4134.97998046875</v>
      </c>
      <c r="N106" s="3">
        <f t="shared" si="49"/>
        <v>1.5357561600565006E-2</v>
      </c>
      <c r="O106" s="3">
        <f t="shared" si="57"/>
        <v>1.7877662334250033E-2</v>
      </c>
      <c r="P106" s="3">
        <f t="shared" si="58"/>
        <v>9.5760813473564355E-3</v>
      </c>
      <c r="Q106" s="3">
        <f t="shared" si="59"/>
        <v>2.0829059811884321E-2</v>
      </c>
      <c r="R106" s="3">
        <f t="shared" si="60"/>
        <v>1.3401744714820474E-2</v>
      </c>
      <c r="S106" s="3">
        <f t="shared" si="61"/>
        <v>2.0676212437428454E-2</v>
      </c>
      <c r="T106" s="3">
        <f t="shared" si="62"/>
        <v>1.5427448674682154E-2</v>
      </c>
      <c r="U106" s="3">
        <f t="shared" si="63"/>
        <v>2.7562215696060655E-2</v>
      </c>
      <c r="V106" s="3">
        <f t="shared" si="64"/>
        <v>9.123042927911662E-3</v>
      </c>
      <c r="W106" s="3">
        <f t="shared" si="65"/>
        <v>1.895483325940539E-2</v>
      </c>
      <c r="X106" s="3">
        <f t="shared" si="66"/>
        <v>1.08694098955322E-2</v>
      </c>
      <c r="AK106" s="3"/>
      <c r="AL106" s="8"/>
      <c r="AW106" s="3"/>
      <c r="AY106" s="5"/>
      <c r="AZ106" s="28">
        <f t="shared" si="55"/>
        <v>44306</v>
      </c>
      <c r="BA106" s="3">
        <f t="shared" si="56"/>
        <v>101</v>
      </c>
      <c r="BB106" s="3">
        <f t="shared" si="50"/>
        <v>1.2322059514387074</v>
      </c>
      <c r="BC106" s="3">
        <f t="shared" si="51"/>
        <v>1.2216402996132618</v>
      </c>
      <c r="BD106" s="3">
        <f t="shared" si="52"/>
        <v>1.3464925537812829</v>
      </c>
      <c r="BE106" s="3">
        <f t="shared" si="53"/>
        <v>0.89567370748145914</v>
      </c>
      <c r="BG106" s="3">
        <f t="shared" si="54"/>
        <v>9.2336688440269876E-3</v>
      </c>
      <c r="BH106" s="3">
        <f t="shared" si="67"/>
        <v>7.9254143624902518E-3</v>
      </c>
      <c r="BI106" s="3">
        <f t="shared" si="68"/>
        <v>1.3552615951986313E-2</v>
      </c>
      <c r="BJ106" s="3">
        <f t="shared" si="69"/>
        <v>1.7627853814509778E-2</v>
      </c>
    </row>
    <row r="107" spans="1:62" x14ac:dyDescent="0.3">
      <c r="A107" s="27">
        <v>44309</v>
      </c>
      <c r="B107" s="3">
        <v>259.57562255859301</v>
      </c>
      <c r="C107" s="3">
        <v>133.69650268554599</v>
      </c>
      <c r="D107" s="3">
        <v>3340.8798828125</v>
      </c>
      <c r="E107" s="3">
        <v>2299.92993164062</v>
      </c>
      <c r="F107" s="3">
        <v>729.40002441406205</v>
      </c>
      <c r="G107" s="3">
        <v>2315.30004882812</v>
      </c>
      <c r="H107" s="3">
        <v>301.13000488281199</v>
      </c>
      <c r="I107" s="3">
        <v>152.57192993164</v>
      </c>
      <c r="J107" s="3">
        <v>271.98001098632801</v>
      </c>
      <c r="K107" s="3">
        <v>148.43502807617099</v>
      </c>
      <c r="L107" s="3">
        <v>4180.169921875</v>
      </c>
      <c r="N107" s="3">
        <f t="shared" si="49"/>
        <v>1.5304936279285641E-3</v>
      </c>
      <c r="O107" s="3">
        <f t="shared" si="57"/>
        <v>2.9735700525446163E-3</v>
      </c>
      <c r="P107" s="3">
        <f t="shared" si="58"/>
        <v>2.0184782893030828E-2</v>
      </c>
      <c r="Q107" s="3">
        <f t="shared" si="59"/>
        <v>4.3385334835779332E-3</v>
      </c>
      <c r="R107" s="3">
        <f t="shared" si="60"/>
        <v>1.1992495286098581E-2</v>
      </c>
      <c r="S107" s="3">
        <f t="shared" si="61"/>
        <v>4.9288521726387202E-3</v>
      </c>
      <c r="T107" s="3">
        <f t="shared" si="62"/>
        <v>6.3227567827368603E-3</v>
      </c>
      <c r="U107" s="3">
        <f t="shared" si="63"/>
        <v>1.3840731447082533E-2</v>
      </c>
      <c r="V107" s="3">
        <f t="shared" si="64"/>
        <v>-4.1265464286848186E-3</v>
      </c>
      <c r="W107" s="3">
        <f t="shared" si="65"/>
        <v>2.4605188658926025E-3</v>
      </c>
      <c r="X107" s="3">
        <f t="shared" si="66"/>
        <v>1.7806845645829128E-3</v>
      </c>
      <c r="AK107" s="3"/>
      <c r="AL107" s="8"/>
      <c r="AW107" s="3"/>
      <c r="AY107" s="5"/>
      <c r="AZ107" s="28">
        <f t="shared" si="55"/>
        <v>44307</v>
      </c>
      <c r="BA107" s="3">
        <f t="shared" si="56"/>
        <v>102</v>
      </c>
      <c r="BB107" s="3">
        <f t="shared" si="50"/>
        <v>1.2436364245295515</v>
      </c>
      <c r="BC107" s="3">
        <f t="shared" si="51"/>
        <v>1.2313607737017849</v>
      </c>
      <c r="BD107" s="3">
        <f t="shared" si="52"/>
        <v>1.3648652682021121</v>
      </c>
      <c r="BE107" s="3">
        <f t="shared" si="53"/>
        <v>0.91160249535905791</v>
      </c>
      <c r="BG107" s="3">
        <f t="shared" si="54"/>
        <v>-1.8116887525502168E-2</v>
      </c>
      <c r="BH107" s="3">
        <f t="shared" si="67"/>
        <v>-1.587227620747611E-2</v>
      </c>
      <c r="BI107" s="3">
        <f t="shared" si="68"/>
        <v>-2.0488435173193931E-2</v>
      </c>
      <c r="BJ107" s="3">
        <f t="shared" si="69"/>
        <v>-2.3420941189261274E-2</v>
      </c>
    </row>
    <row r="108" spans="1:62" x14ac:dyDescent="0.3">
      <c r="A108" s="27">
        <v>44312</v>
      </c>
      <c r="B108" s="3">
        <v>259.97320556640602</v>
      </c>
      <c r="C108" s="3">
        <v>134.09465026855401</v>
      </c>
      <c r="D108" s="3">
        <v>3409</v>
      </c>
      <c r="E108" s="3">
        <v>2309.92993164062</v>
      </c>
      <c r="F108" s="3">
        <v>738.20001220703102</v>
      </c>
      <c r="G108" s="3">
        <v>2326.73999023437</v>
      </c>
      <c r="H108" s="3">
        <v>303.04000854492102</v>
      </c>
      <c r="I108" s="3">
        <v>154.698318481445</v>
      </c>
      <c r="J108" s="3">
        <v>270.85998535156199</v>
      </c>
      <c r="K108" s="3">
        <v>148.80070495605401</v>
      </c>
      <c r="L108" s="3">
        <v>4187.6201171875</v>
      </c>
      <c r="N108" s="3">
        <f t="shared" si="49"/>
        <v>1.6046887886442818E-3</v>
      </c>
      <c r="O108" s="3">
        <f t="shared" si="57"/>
        <v>-2.452587961010444E-3</v>
      </c>
      <c r="P108" s="3">
        <f t="shared" si="58"/>
        <v>2.4697934382000852E-3</v>
      </c>
      <c r="Q108" s="3">
        <f t="shared" si="59"/>
        <v>-8.2375263548888356E-3</v>
      </c>
      <c r="R108" s="3">
        <f t="shared" si="60"/>
        <v>-4.6385880524494993E-2</v>
      </c>
      <c r="S108" s="3">
        <f t="shared" si="61"/>
        <v>-8.4680977996027806E-3</v>
      </c>
      <c r="T108" s="3">
        <f t="shared" si="62"/>
        <v>1.7474123416771903E-3</v>
      </c>
      <c r="U108" s="3">
        <f t="shared" si="63"/>
        <v>-6.2379080067751502E-3</v>
      </c>
      <c r="V108" s="3">
        <f t="shared" si="64"/>
        <v>1.0247867139821842E-2</v>
      </c>
      <c r="W108" s="3">
        <f t="shared" si="65"/>
        <v>4.5723755743463101E-3</v>
      </c>
      <c r="X108" s="3">
        <f t="shared" si="66"/>
        <v>-2.1491898144532229E-4</v>
      </c>
      <c r="AK108" s="3"/>
      <c r="AL108" s="8"/>
      <c r="AW108" s="3"/>
      <c r="AY108" s="5"/>
      <c r="AZ108" s="28">
        <f t="shared" si="55"/>
        <v>44308</v>
      </c>
      <c r="BA108" s="3">
        <f t="shared" si="56"/>
        <v>103</v>
      </c>
      <c r="BB108" s="3">
        <f t="shared" si="50"/>
        <v>1.2213084705258288</v>
      </c>
      <c r="BC108" s="3">
        <f t="shared" si="51"/>
        <v>1.2119705658361963</v>
      </c>
      <c r="BD108" s="3">
        <f t="shared" si="52"/>
        <v>1.3371858370068261</v>
      </c>
      <c r="BE108" s="3">
        <f t="shared" si="53"/>
        <v>0.89049999179734685</v>
      </c>
      <c r="BG108" s="3">
        <f t="shared" si="54"/>
        <v>1.6929276347394606E-2</v>
      </c>
      <c r="BH108" s="3">
        <f t="shared" si="67"/>
        <v>1.6302249779624189E-2</v>
      </c>
      <c r="BI108" s="3">
        <f t="shared" si="68"/>
        <v>1.6319472811550106E-2</v>
      </c>
      <c r="BJ108" s="3">
        <f t="shared" si="69"/>
        <v>1.593507961816279E-2</v>
      </c>
    </row>
    <row r="109" spans="1:62" x14ac:dyDescent="0.3">
      <c r="A109" s="27">
        <v>44313</v>
      </c>
      <c r="B109" s="3">
        <v>260.39071655273398</v>
      </c>
      <c r="C109" s="3">
        <v>133.76617431640599</v>
      </c>
      <c r="D109" s="3">
        <v>3417.42993164062</v>
      </c>
      <c r="E109" s="3">
        <v>2290.97998046875</v>
      </c>
      <c r="F109" s="3">
        <v>704.739990234375</v>
      </c>
      <c r="G109" s="3">
        <v>2307.1201171875</v>
      </c>
      <c r="H109" s="3">
        <v>303.57000732421801</v>
      </c>
      <c r="I109" s="3">
        <v>153.736328125</v>
      </c>
      <c r="J109" s="3">
        <v>273.64999389648398</v>
      </c>
      <c r="K109" s="3">
        <v>149.48263549804599</v>
      </c>
      <c r="L109" s="3">
        <v>4186.72021484375</v>
      </c>
      <c r="N109" s="3">
        <f t="shared" si="49"/>
        <v>-2.8693537696955929E-2</v>
      </c>
      <c r="O109" s="3">
        <f t="shared" si="57"/>
        <v>-6.0453853797639567E-3</v>
      </c>
      <c r="P109" s="3">
        <f t="shared" si="58"/>
        <v>1.1946182464535937E-2</v>
      </c>
      <c r="Q109" s="3">
        <f t="shared" si="59"/>
        <v>2.9275108082192247E-2</v>
      </c>
      <c r="R109" s="3">
        <f t="shared" si="60"/>
        <v>-1.478072810297526E-2</v>
      </c>
      <c r="S109" s="3">
        <f t="shared" si="61"/>
        <v>3.10625906747104E-2</v>
      </c>
      <c r="T109" s="3">
        <f t="shared" si="62"/>
        <v>1.1561196784731109E-2</v>
      </c>
      <c r="U109" s="3">
        <f t="shared" si="63"/>
        <v>-6.8497282842399088E-3</v>
      </c>
      <c r="V109" s="3">
        <f t="shared" si="64"/>
        <v>-2.5612223354745112E-3</v>
      </c>
      <c r="W109" s="3">
        <f t="shared" si="65"/>
        <v>6.458458028517633E-3</v>
      </c>
      <c r="X109" s="3">
        <f t="shared" si="66"/>
        <v>-8.4589758739639365E-4</v>
      </c>
      <c r="AK109" s="3"/>
      <c r="AL109" s="8"/>
      <c r="AW109" s="3"/>
      <c r="AY109" s="5"/>
      <c r="AZ109" s="28">
        <f t="shared" si="55"/>
        <v>44309</v>
      </c>
      <c r="BA109" s="3">
        <f t="shared" si="56"/>
        <v>104</v>
      </c>
      <c r="BB109" s="3">
        <f t="shared" si="50"/>
        <v>1.2421603446882292</v>
      </c>
      <c r="BC109" s="3">
        <f t="shared" si="51"/>
        <v>1.231890340133883</v>
      </c>
      <c r="BD109" s="3">
        <f t="shared" si="52"/>
        <v>1.3591870406528104</v>
      </c>
      <c r="BE109" s="3">
        <f t="shared" si="53"/>
        <v>0.90480384390138269</v>
      </c>
      <c r="BG109" s="3">
        <f t="shared" si="54"/>
        <v>6.3624090255200716E-3</v>
      </c>
      <c r="BH109" s="3">
        <f t="shared" si="67"/>
        <v>4.9149147036539331E-3</v>
      </c>
      <c r="BI109" s="3">
        <f t="shared" si="68"/>
        <v>5.556295075225981E-3</v>
      </c>
      <c r="BJ109" s="3">
        <f t="shared" si="69"/>
        <v>6.0083342263003714E-3</v>
      </c>
    </row>
    <row r="110" spans="1:62" x14ac:dyDescent="0.3">
      <c r="A110" s="27">
        <v>44314</v>
      </c>
      <c r="B110" s="3">
        <v>253.02536010742099</v>
      </c>
      <c r="C110" s="3">
        <v>132.95994567871</v>
      </c>
      <c r="D110" s="3">
        <v>3458.5</v>
      </c>
      <c r="E110" s="3">
        <v>2359.0400390625</v>
      </c>
      <c r="F110" s="3">
        <v>694.40002441406205</v>
      </c>
      <c r="G110" s="3">
        <v>2379.90991210937</v>
      </c>
      <c r="H110" s="3">
        <v>307.100006103515</v>
      </c>
      <c r="I110" s="3">
        <v>152.68687438964801</v>
      </c>
      <c r="J110" s="3">
        <v>272.95001220703102</v>
      </c>
      <c r="K110" s="3">
        <v>150.45118713378901</v>
      </c>
      <c r="L110" s="3">
        <v>4183.18017578125</v>
      </c>
      <c r="N110" s="3">
        <f t="shared" si="49"/>
        <v>-8.0857208990874341E-3</v>
      </c>
      <c r="O110" s="3">
        <f t="shared" si="57"/>
        <v>-7.4898966246639276E-4</v>
      </c>
      <c r="P110" s="3">
        <f t="shared" si="58"/>
        <v>3.6970921501779941E-3</v>
      </c>
      <c r="Q110" s="3">
        <f t="shared" si="59"/>
        <v>1.4192742280221715E-2</v>
      </c>
      <c r="R110" s="3">
        <f t="shared" si="60"/>
        <v>-2.5376925592364152E-2</v>
      </c>
      <c r="S110" s="3">
        <f t="shared" si="61"/>
        <v>2.078330971751452E-2</v>
      </c>
      <c r="T110" s="3">
        <f t="shared" si="62"/>
        <v>7.0433284811047159E-2</v>
      </c>
      <c r="U110" s="3">
        <f t="shared" si="63"/>
        <v>3.137135784292866E-3</v>
      </c>
      <c r="V110" s="3">
        <f t="shared" si="64"/>
        <v>1.6892577669018749E-2</v>
      </c>
      <c r="W110" s="3">
        <f t="shared" si="65"/>
        <v>1.9257655492750381E-2</v>
      </c>
      <c r="X110" s="3">
        <f t="shared" si="66"/>
        <v>6.7400415367036004E-3</v>
      </c>
      <c r="AK110" s="3"/>
      <c r="AL110" s="8"/>
      <c r="AW110" s="3"/>
      <c r="AY110" s="5"/>
      <c r="AZ110" s="28">
        <f t="shared" si="55"/>
        <v>44312</v>
      </c>
      <c r="BA110" s="3">
        <f t="shared" si="56"/>
        <v>105</v>
      </c>
      <c r="BB110" s="3">
        <f t="shared" si="50"/>
        <v>1.2500886717612438</v>
      </c>
      <c r="BC110" s="3">
        <f t="shared" si="51"/>
        <v>1.2379598794958502</v>
      </c>
      <c r="BD110" s="3">
        <f t="shared" si="52"/>
        <v>1.3667601045186106</v>
      </c>
      <c r="BE110" s="3">
        <f t="shared" si="53"/>
        <v>0.91025657230848989</v>
      </c>
      <c r="BG110" s="3">
        <f t="shared" si="54"/>
        <v>-6.0669670111021812E-3</v>
      </c>
      <c r="BH110" s="3">
        <f t="shared" si="67"/>
        <v>-2.1809430079909597E-3</v>
      </c>
      <c r="BI110" s="3">
        <f t="shared" si="68"/>
        <v>-1.4605293787836593E-3</v>
      </c>
      <c r="BJ110" s="3">
        <f t="shared" si="69"/>
        <v>2.8103588444970129E-3</v>
      </c>
    </row>
    <row r="111" spans="1:62" x14ac:dyDescent="0.3">
      <c r="A111" s="27">
        <v>44315</v>
      </c>
      <c r="B111" s="3">
        <v>250.98771667480401</v>
      </c>
      <c r="C111" s="3">
        <v>132.86039733886699</v>
      </c>
      <c r="D111" s="3">
        <v>3471.31005859375</v>
      </c>
      <c r="E111" s="3">
        <v>2392.76000976562</v>
      </c>
      <c r="F111" s="3">
        <v>677</v>
      </c>
      <c r="G111" s="3">
        <v>2429.88989257812</v>
      </c>
      <c r="H111" s="3">
        <v>329.510009765625</v>
      </c>
      <c r="I111" s="3">
        <v>153.16662597656199</v>
      </c>
      <c r="J111" s="3">
        <v>277.600006103515</v>
      </c>
      <c r="K111" s="3">
        <v>153.37660217285099</v>
      </c>
      <c r="L111" s="3">
        <v>4211.47021484375</v>
      </c>
      <c r="N111" s="3">
        <f t="shared" si="49"/>
        <v>-1.3078249546785159E-3</v>
      </c>
      <c r="O111" s="3">
        <f t="shared" si="57"/>
        <v>-1.5248889850585812E-2</v>
      </c>
      <c r="P111" s="3">
        <f t="shared" si="58"/>
        <v>-1.1212821762125458E-3</v>
      </c>
      <c r="Q111" s="3">
        <f t="shared" si="59"/>
        <v>-1.6543933599016292E-2</v>
      </c>
      <c r="R111" s="3">
        <f t="shared" si="60"/>
        <v>4.6804656956985546E-2</v>
      </c>
      <c r="S111" s="3">
        <f t="shared" si="61"/>
        <v>-8.1693572124308389E-3</v>
      </c>
      <c r="T111" s="3">
        <f t="shared" si="62"/>
        <v>-1.353546755344226E-2</v>
      </c>
      <c r="U111" s="3">
        <f t="shared" si="63"/>
        <v>-2.0785813269950992E-2</v>
      </c>
      <c r="V111" s="3">
        <f t="shared" si="64"/>
        <v>-9.5919432682762817E-3</v>
      </c>
      <c r="W111" s="3">
        <f t="shared" si="65"/>
        <v>-8.9322095616033437E-3</v>
      </c>
      <c r="X111" s="3">
        <f t="shared" si="66"/>
        <v>-7.2207134171211607E-3</v>
      </c>
      <c r="AK111" s="3"/>
      <c r="AL111" s="8"/>
      <c r="AW111" s="3"/>
      <c r="AY111" s="5"/>
      <c r="AZ111" s="28">
        <f t="shared" si="55"/>
        <v>44313</v>
      </c>
      <c r="BA111" s="3">
        <f t="shared" si="56"/>
        <v>106</v>
      </c>
      <c r="BB111" s="3">
        <f t="shared" si="50"/>
        <v>1.242527385259627</v>
      </c>
      <c r="BC111" s="3">
        <f t="shared" si="51"/>
        <v>1.2352629015990511</v>
      </c>
      <c r="BD111" s="3">
        <f t="shared" si="52"/>
        <v>1.3647653682722458</v>
      </c>
      <c r="BE111" s="3">
        <f t="shared" si="53"/>
        <v>0.91281831794340951</v>
      </c>
      <c r="BG111" s="3">
        <f t="shared" si="54"/>
        <v>3.337433592447453E-3</v>
      </c>
      <c r="BH111" s="3">
        <f t="shared" si="67"/>
        <v>3.9661087764193692E-3</v>
      </c>
      <c r="BI111" s="3">
        <f t="shared" si="68"/>
        <v>-6.4687717521626498E-3</v>
      </c>
      <c r="BJ111" s="3">
        <f t="shared" si="69"/>
        <v>-1.7472556407828826E-2</v>
      </c>
    </row>
    <row r="112" spans="1:62" x14ac:dyDescent="0.3">
      <c r="A112" s="27">
        <v>44316</v>
      </c>
      <c r="B112" s="3">
        <v>250.65968322753901</v>
      </c>
      <c r="C112" s="3">
        <v>130.84979248046801</v>
      </c>
      <c r="D112" s="3">
        <v>3467.419921875</v>
      </c>
      <c r="E112" s="3">
        <v>2353.5</v>
      </c>
      <c r="F112" s="3">
        <v>709.44000244140602</v>
      </c>
      <c r="G112" s="3">
        <v>2410.1201171875</v>
      </c>
      <c r="H112" s="3">
        <v>325.079986572265</v>
      </c>
      <c r="I112" s="3">
        <v>150.01579284667901</v>
      </c>
      <c r="J112" s="3">
        <v>274.95001220703102</v>
      </c>
      <c r="K112" s="3">
        <v>152.01271057128901</v>
      </c>
      <c r="L112" s="3">
        <v>4181.169921875</v>
      </c>
      <c r="N112" s="3">
        <f t="shared" si="49"/>
        <v>-1.269674286936251E-3</v>
      </c>
      <c r="O112" s="3">
        <f t="shared" si="57"/>
        <v>8.1815931177100509E-3</v>
      </c>
      <c r="P112" s="3">
        <f t="shared" si="58"/>
        <v>-2.3616795148933889E-2</v>
      </c>
      <c r="Q112" s="3">
        <f t="shared" si="59"/>
        <v>-4.4372453139427392E-3</v>
      </c>
      <c r="R112" s="3">
        <f t="shared" si="60"/>
        <v>-3.5203052019231684E-2</v>
      </c>
      <c r="S112" s="3">
        <f t="shared" si="61"/>
        <v>-6.222410480212659E-3</v>
      </c>
      <c r="T112" s="3">
        <f t="shared" si="62"/>
        <v>-7.720138716089231E-3</v>
      </c>
      <c r="U112" s="3">
        <f t="shared" si="63"/>
        <v>-1.1576154213130074E-2</v>
      </c>
      <c r="V112" s="3">
        <f t="shared" si="64"/>
        <v>1.5267401498757494E-2</v>
      </c>
      <c r="W112" s="3">
        <f t="shared" si="65"/>
        <v>-2.929916170853808E-3</v>
      </c>
      <c r="X112" s="3">
        <f t="shared" si="66"/>
        <v>2.7443216495122158E-3</v>
      </c>
      <c r="AK112" s="3"/>
      <c r="AL112" s="8"/>
      <c r="AW112" s="3"/>
      <c r="AY112" s="5"/>
      <c r="AZ112" s="28">
        <f t="shared" si="55"/>
        <v>44314</v>
      </c>
      <c r="BA112" s="3">
        <f t="shared" si="56"/>
        <v>107</v>
      </c>
      <c r="BB112" s="3">
        <f t="shared" si="50"/>
        <v>1.2466811655220602</v>
      </c>
      <c r="BC112" s="3">
        <f t="shared" si="51"/>
        <v>1.2401718168454132</v>
      </c>
      <c r="BD112" s="3">
        <f t="shared" si="52"/>
        <v>1.3559655054475077</v>
      </c>
      <c r="BE112" s="3">
        <f t="shared" si="53"/>
        <v>0.89700757765547068</v>
      </c>
      <c r="BG112" s="3">
        <f t="shared" si="54"/>
        <v>1.112783684363941E-2</v>
      </c>
      <c r="BH112" s="3">
        <f t="shared" si="67"/>
        <v>1.2955245416004069E-2</v>
      </c>
      <c r="BI112" s="3">
        <f t="shared" si="68"/>
        <v>4.2952775490607831E-3</v>
      </c>
      <c r="BJ112" s="3">
        <f t="shared" si="69"/>
        <v>-3.9685620028657165E-3</v>
      </c>
    </row>
    <row r="113" spans="1:62" x14ac:dyDescent="0.3">
      <c r="A113" s="27">
        <v>44319</v>
      </c>
      <c r="B113" s="3">
        <v>250.34162902832</v>
      </c>
      <c r="C113" s="3">
        <v>131.92474365234301</v>
      </c>
      <c r="D113" s="3">
        <v>3386.48999023437</v>
      </c>
      <c r="E113" s="3">
        <v>2343.080078125</v>
      </c>
      <c r="F113" s="3">
        <v>684.90002441406205</v>
      </c>
      <c r="G113" s="3">
        <v>2395.169921875</v>
      </c>
      <c r="H113" s="3">
        <v>322.579986572265</v>
      </c>
      <c r="I113" s="3">
        <v>148.28919982910099</v>
      </c>
      <c r="J113" s="3">
        <v>279.17999267578102</v>
      </c>
      <c r="K113" s="3">
        <v>151.56797790527301</v>
      </c>
      <c r="L113" s="3">
        <v>4192.66015625</v>
      </c>
      <c r="N113" s="3">
        <f t="shared" si="49"/>
        <v>-1.6291795662606745E-2</v>
      </c>
      <c r="O113" s="3">
        <f t="shared" si="57"/>
        <v>-3.6026599799045655E-2</v>
      </c>
      <c r="P113" s="3">
        <f t="shared" si="58"/>
        <v>-2.2280963954511179E-2</v>
      </c>
      <c r="Q113" s="3">
        <f t="shared" si="59"/>
        <v>-1.5592014975129409E-2</v>
      </c>
      <c r="R113" s="3">
        <f t="shared" si="60"/>
        <v>-1.6636451166068156E-2</v>
      </c>
      <c r="S113" s="3">
        <f t="shared" si="61"/>
        <v>-1.7231971528924639E-2</v>
      </c>
      <c r="T113" s="3">
        <f t="shared" si="62"/>
        <v>-1.3168353937508037E-2</v>
      </c>
      <c r="U113" s="3">
        <f t="shared" si="63"/>
        <v>-3.3270125952831187E-2</v>
      </c>
      <c r="V113" s="3">
        <f t="shared" si="64"/>
        <v>3.8610697370913272E-3</v>
      </c>
      <c r="W113" s="3">
        <f t="shared" si="65"/>
        <v>1.3729023175070409E-2</v>
      </c>
      <c r="X113" s="3">
        <f t="shared" si="66"/>
        <v>-6.7007374898473415E-3</v>
      </c>
      <c r="AK113" s="3"/>
      <c r="AL113" s="8"/>
      <c r="AW113" s="3"/>
      <c r="AY113" s="5"/>
      <c r="AZ113" s="28">
        <f t="shared" si="55"/>
        <v>44315</v>
      </c>
      <c r="BA113" s="3">
        <f t="shared" si="56"/>
        <v>108</v>
      </c>
      <c r="BB113" s="3">
        <f t="shared" si="50"/>
        <v>1.2606315047231713</v>
      </c>
      <c r="BC113" s="3">
        <f t="shared" si="51"/>
        <v>1.2563430722024271</v>
      </c>
      <c r="BD113" s="3">
        <f t="shared" si="52"/>
        <v>1.3618022799498459</v>
      </c>
      <c r="BE113" s="3">
        <f t="shared" si="53"/>
        <v>0.89345480183493198</v>
      </c>
      <c r="BG113" s="3">
        <f t="shared" si="54"/>
        <v>-4.1473374580238698E-3</v>
      </c>
      <c r="BH113" s="3">
        <f t="shared" si="67"/>
        <v>-6.9632200244979237E-3</v>
      </c>
      <c r="BI113" s="3">
        <f t="shared" si="68"/>
        <v>-5.6139860487482984E-3</v>
      </c>
      <c r="BJ113" s="3">
        <f t="shared" si="69"/>
        <v>-7.3641142137208238E-3</v>
      </c>
    </row>
    <row r="114" spans="1:62" x14ac:dyDescent="0.3">
      <c r="A114" s="27">
        <v>44320</v>
      </c>
      <c r="B114" s="3">
        <v>246.29615783691401</v>
      </c>
      <c r="C114" s="3">
        <v>127.256538391113</v>
      </c>
      <c r="D114" s="3">
        <v>3311.8701171875</v>
      </c>
      <c r="E114" s="3">
        <v>2306.830078125</v>
      </c>
      <c r="F114" s="3">
        <v>673.59997558593705</v>
      </c>
      <c r="G114" s="3">
        <v>2354.25</v>
      </c>
      <c r="H114" s="3">
        <v>318.35998535156199</v>
      </c>
      <c r="I114" s="3">
        <v>143.436767578125</v>
      </c>
      <c r="J114" s="3">
        <v>280.260009765625</v>
      </c>
      <c r="K114" s="3">
        <v>153.66320800781199</v>
      </c>
      <c r="L114" s="3">
        <v>4164.66015625</v>
      </c>
      <c r="N114" s="3">
        <f t="shared" si="49"/>
        <v>-5.341269035120888E-3</v>
      </c>
      <c r="O114" s="3">
        <f t="shared" si="57"/>
        <v>1.9535732493727309E-3</v>
      </c>
      <c r="P114" s="3">
        <f t="shared" si="58"/>
        <v>-1.2557899095149594E-2</v>
      </c>
      <c r="Q114" s="3">
        <f t="shared" si="59"/>
        <v>3.4360174182950232E-3</v>
      </c>
      <c r="R114" s="3">
        <f t="shared" si="60"/>
        <v>-3.9567088495351399E-3</v>
      </c>
      <c r="S114" s="3">
        <f t="shared" si="61"/>
        <v>1.0570986019509121E-3</v>
      </c>
      <c r="T114" s="3">
        <f t="shared" si="62"/>
        <v>-1.054667792689834E-2</v>
      </c>
      <c r="U114" s="3">
        <f t="shared" si="63"/>
        <v>7.4454020874386018E-3</v>
      </c>
      <c r="V114" s="3">
        <f t="shared" si="64"/>
        <v>8.8807372526034101E-3</v>
      </c>
      <c r="W114" s="3">
        <f t="shared" si="65"/>
        <v>1.3035404297132125E-2</v>
      </c>
      <c r="X114" s="3">
        <f t="shared" si="66"/>
        <v>7.0321644711413001E-4</v>
      </c>
      <c r="AK114" s="3"/>
      <c r="AL114" s="8"/>
      <c r="AW114" s="3"/>
      <c r="AY114" s="5"/>
      <c r="AZ114" s="28">
        <f t="shared" si="55"/>
        <v>44316</v>
      </c>
      <c r="BA114" s="3">
        <f t="shared" si="56"/>
        <v>109</v>
      </c>
      <c r="BB114" s="3">
        <f t="shared" si="50"/>
        <v>1.2554140671784524</v>
      </c>
      <c r="BC114" s="3">
        <f t="shared" si="51"/>
        <v>1.247625266189708</v>
      </c>
      <c r="BD114" s="3">
        <f t="shared" si="52"/>
        <v>1.3541785606987622</v>
      </c>
      <c r="BE114" s="3">
        <f t="shared" si="53"/>
        <v>0.88689946537734232</v>
      </c>
      <c r="BG114" s="3">
        <f t="shared" si="54"/>
        <v>-7.2706152968486093E-3</v>
      </c>
      <c r="BH114" s="3">
        <f t="shared" si="67"/>
        <v>-3.785119666415232E-3</v>
      </c>
      <c r="BI114" s="3">
        <f t="shared" si="68"/>
        <v>-3.093265716140936E-3</v>
      </c>
      <c r="BJ114" s="3">
        <f t="shared" si="69"/>
        <v>-3.161186201718208E-4</v>
      </c>
    </row>
    <row r="115" spans="1:62" x14ac:dyDescent="0.3">
      <c r="A115" s="27">
        <v>44321</v>
      </c>
      <c r="B115" s="3">
        <v>244.984130859375</v>
      </c>
      <c r="C115" s="3">
        <v>127.50538635253901</v>
      </c>
      <c r="D115" s="3">
        <v>3270.5400390625</v>
      </c>
      <c r="E115" s="3">
        <v>2314.77001953125</v>
      </c>
      <c r="F115" s="3">
        <v>670.94000244140602</v>
      </c>
      <c r="G115" s="3">
        <v>2356.73999023437</v>
      </c>
      <c r="H115" s="3">
        <v>315.01998901367102</v>
      </c>
      <c r="I115" s="3">
        <v>144.508697509765</v>
      </c>
      <c r="J115" s="3">
        <v>282.760009765625</v>
      </c>
      <c r="K115" s="3">
        <v>155.67938232421801</v>
      </c>
      <c r="L115" s="3">
        <v>4167.58984375</v>
      </c>
      <c r="N115" s="3">
        <f t="shared" si="49"/>
        <v>1.314002955549487E-2</v>
      </c>
      <c r="O115" s="3">
        <f t="shared" si="57"/>
        <v>1.2721221799435689E-2</v>
      </c>
      <c r="P115" s="3">
        <f t="shared" si="58"/>
        <v>1.0895825470933929E-2</v>
      </c>
      <c r="Q115" s="3">
        <f t="shared" si="59"/>
        <v>9.707511791128276E-3</v>
      </c>
      <c r="R115" s="3">
        <f t="shared" si="60"/>
        <v>-1.1090612633394059E-2</v>
      </c>
      <c r="S115" s="3">
        <f t="shared" si="61"/>
        <v>1.0388290760563912E-2</v>
      </c>
      <c r="T115" s="3">
        <f t="shared" si="62"/>
        <v>1.5747365512027933E-2</v>
      </c>
      <c r="U115" s="3">
        <f t="shared" si="63"/>
        <v>4.4510793756780132E-3</v>
      </c>
      <c r="V115" s="3">
        <f t="shared" si="64"/>
        <v>2.4281877312642308E-2</v>
      </c>
      <c r="W115" s="3">
        <f t="shared" si="65"/>
        <v>1.9924649443606945E-2</v>
      </c>
      <c r="X115" s="3">
        <f t="shared" si="66"/>
        <v>8.132299498631923E-3</v>
      </c>
      <c r="AK115" s="3"/>
      <c r="AL115" s="8"/>
      <c r="AW115" s="3"/>
      <c r="AY115" s="5"/>
      <c r="AZ115" s="28">
        <f t="shared" si="55"/>
        <v>44319</v>
      </c>
      <c r="BA115" s="3">
        <f t="shared" si="56"/>
        <v>110</v>
      </c>
      <c r="BB115" s="3">
        <f t="shared" si="50"/>
        <v>1.2463195359394921</v>
      </c>
      <c r="BC115" s="3">
        <f t="shared" si="51"/>
        <v>1.2429117814378108</v>
      </c>
      <c r="BD115" s="3">
        <f t="shared" si="52"/>
        <v>1.3499961984970634</v>
      </c>
      <c r="BE115" s="3">
        <f t="shared" si="53"/>
        <v>0.88661914425181421</v>
      </c>
      <c r="BG115" s="3">
        <f t="shared" si="54"/>
        <v>-1.4564118869449E-2</v>
      </c>
      <c r="BH115" s="3">
        <f t="shared" si="67"/>
        <v>-1.2292580242001444E-2</v>
      </c>
      <c r="BI115" s="3">
        <f t="shared" si="68"/>
        <v>-1.0840149983327496E-2</v>
      </c>
      <c r="BJ115" s="3">
        <f t="shared" si="69"/>
        <v>-1.031697029399356E-2</v>
      </c>
    </row>
    <row r="116" spans="1:62" x14ac:dyDescent="0.3">
      <c r="A116" s="27">
        <v>44322</v>
      </c>
      <c r="B116" s="3">
        <v>248.22447204589801</v>
      </c>
      <c r="C116" s="3">
        <v>129.137771606445</v>
      </c>
      <c r="D116" s="3">
        <v>3306.3701171875</v>
      </c>
      <c r="E116" s="3">
        <v>2337.35009765625</v>
      </c>
      <c r="F116" s="3">
        <v>663.53997802734295</v>
      </c>
      <c r="G116" s="3">
        <v>2381.35009765625</v>
      </c>
      <c r="H116" s="3">
        <v>320.01998901367102</v>
      </c>
      <c r="I116" s="3">
        <v>145.15335083007801</v>
      </c>
      <c r="J116" s="3">
        <v>289.70999145507801</v>
      </c>
      <c r="K116" s="3">
        <v>158.81234741210901</v>
      </c>
      <c r="L116" s="3">
        <v>4201.6201171875</v>
      </c>
      <c r="N116" s="3">
        <f t="shared" si="49"/>
        <v>1.087250558147268E-2</v>
      </c>
      <c r="O116" s="3">
        <f t="shared" si="57"/>
        <v>5.3131764089426881E-3</v>
      </c>
      <c r="P116" s="3">
        <f t="shared" si="58"/>
        <v>-4.4741068887343971E-3</v>
      </c>
      <c r="Q116" s="3">
        <f t="shared" si="59"/>
        <v>6.2183878440853491E-3</v>
      </c>
      <c r="R116" s="3">
        <f t="shared" si="60"/>
        <v>1.321967177617811E-2</v>
      </c>
      <c r="S116" s="3">
        <f t="shared" si="61"/>
        <v>7.2551358013761558E-3</v>
      </c>
      <c r="T116" s="3">
        <f t="shared" si="62"/>
        <v>-2.9416465503278033E-3</v>
      </c>
      <c r="U116" s="3">
        <f t="shared" si="63"/>
        <v>1.97209587108782E-2</v>
      </c>
      <c r="V116" s="3">
        <f t="shared" si="64"/>
        <v>4.2022700791761736E-3</v>
      </c>
      <c r="W116" s="3">
        <f t="shared" si="65"/>
        <v>3.4168359463766507E-3</v>
      </c>
      <c r="X116" s="3">
        <f t="shared" si="66"/>
        <v>7.3462914191875228E-3</v>
      </c>
      <c r="AK116" s="3"/>
      <c r="AL116" s="8"/>
      <c r="AW116" s="3"/>
      <c r="AY116" s="5"/>
      <c r="AZ116" s="28">
        <f t="shared" si="55"/>
        <v>44320</v>
      </c>
      <c r="BA116" s="3">
        <f t="shared" si="56"/>
        <v>111</v>
      </c>
      <c r="BB116" s="3">
        <f t="shared" si="50"/>
        <v>1.2282995313361043</v>
      </c>
      <c r="BC116" s="3">
        <f t="shared" si="51"/>
        <v>1.2277267116893218</v>
      </c>
      <c r="BD116" s="3">
        <f t="shared" si="52"/>
        <v>1.3354410696477372</v>
      </c>
      <c r="BE116" s="3">
        <f t="shared" si="53"/>
        <v>0.87751894484051174</v>
      </c>
      <c r="BG116" s="3">
        <f t="shared" si="54"/>
        <v>6.4684710025728065E-4</v>
      </c>
      <c r="BH116" s="3">
        <f t="shared" si="67"/>
        <v>1.3810121080209681E-3</v>
      </c>
      <c r="BI116" s="3">
        <f t="shared" si="68"/>
        <v>5.1442374024823767E-3</v>
      </c>
      <c r="BJ116" s="3">
        <f t="shared" si="69"/>
        <v>8.3680536402864908E-3</v>
      </c>
    </row>
    <row r="117" spans="1:62" x14ac:dyDescent="0.3">
      <c r="A117" s="27">
        <v>44323</v>
      </c>
      <c r="B117" s="3">
        <v>250.93801879882801</v>
      </c>
      <c r="C117" s="3">
        <v>129.82572937011699</v>
      </c>
      <c r="D117" s="3">
        <v>3291.61010742187</v>
      </c>
      <c r="E117" s="3">
        <v>2351.92993164062</v>
      </c>
      <c r="F117" s="3">
        <v>672.36999511718705</v>
      </c>
      <c r="G117" s="3">
        <v>2398.68994140625</v>
      </c>
      <c r="H117" s="3">
        <v>319.079986572265</v>
      </c>
      <c r="I117" s="3">
        <v>148.04432678222599</v>
      </c>
      <c r="J117" s="3">
        <v>290.92999267578102</v>
      </c>
      <c r="K117" s="3">
        <v>159.35591125488199</v>
      </c>
      <c r="L117" s="3">
        <v>4232.60009765625</v>
      </c>
      <c r="N117" s="3">
        <f t="shared" si="49"/>
        <v>-2.1136066150948096E-2</v>
      </c>
      <c r="O117" s="3">
        <f t="shared" si="57"/>
        <v>-2.614323223257653E-2</v>
      </c>
      <c r="P117" s="3">
        <f t="shared" si="58"/>
        <v>-3.1202332460543047E-2</v>
      </c>
      <c r="Q117" s="3">
        <f t="shared" si="59"/>
        <v>-2.5920520763748733E-2</v>
      </c>
      <c r="R117" s="3">
        <f t="shared" si="60"/>
        <v>-6.6613964224410793E-2</v>
      </c>
      <c r="S117" s="3">
        <f t="shared" si="61"/>
        <v>-2.4062688532841214E-2</v>
      </c>
      <c r="T117" s="3">
        <f t="shared" si="62"/>
        <v>-4.1954751040115035E-2</v>
      </c>
      <c r="U117" s="3">
        <f t="shared" si="63"/>
        <v>-3.7592851002641758E-2</v>
      </c>
      <c r="V117" s="3">
        <f t="shared" si="64"/>
        <v>4.8005919656590734E-3</v>
      </c>
      <c r="W117" s="3">
        <f t="shared" si="65"/>
        <v>-1.2400768135822915E-4</v>
      </c>
      <c r="X117" s="3">
        <f t="shared" si="66"/>
        <v>-1.04904805031385E-2</v>
      </c>
      <c r="AK117" s="3"/>
      <c r="AL117" s="8"/>
      <c r="AW117" s="3"/>
      <c r="AY117" s="5"/>
      <c r="AZ117" s="28">
        <f t="shared" si="55"/>
        <v>44321</v>
      </c>
      <c r="BA117" s="3">
        <f t="shared" si="56"/>
        <v>112</v>
      </c>
      <c r="BB117" s="3">
        <f t="shared" si="50"/>
        <v>1.2290943103487342</v>
      </c>
      <c r="BC117" s="3">
        <f t="shared" si="51"/>
        <v>1.2294233884394155</v>
      </c>
      <c r="BD117" s="3">
        <f t="shared" si="52"/>
        <v>1.3423285958932787</v>
      </c>
      <c r="BE117" s="3">
        <f t="shared" si="53"/>
        <v>0.88489288015491219</v>
      </c>
      <c r="BG117" s="3">
        <f t="shared" si="54"/>
        <v>1.0941701204354726E-2</v>
      </c>
      <c r="BH117" s="3">
        <f t="shared" si="67"/>
        <v>1.3475505941058452E-2</v>
      </c>
      <c r="BI117" s="3">
        <f t="shared" si="68"/>
        <v>1.3813378003150467E-2</v>
      </c>
      <c r="BJ117" s="3">
        <f t="shared" si="69"/>
        <v>1.5734879200150792E-2</v>
      </c>
    </row>
    <row r="118" spans="1:62" x14ac:dyDescent="0.3">
      <c r="A118" s="27">
        <v>44326</v>
      </c>
      <c r="B118" s="3">
        <v>245.68983459472599</v>
      </c>
      <c r="C118" s="3">
        <v>126.47564697265599</v>
      </c>
      <c r="D118" s="3">
        <v>3190.48999023437</v>
      </c>
      <c r="E118" s="3">
        <v>2291.75</v>
      </c>
      <c r="F118" s="3">
        <v>629.03997802734295</v>
      </c>
      <c r="G118" s="3">
        <v>2341.65991210937</v>
      </c>
      <c r="H118" s="3">
        <v>305.97000122070301</v>
      </c>
      <c r="I118" s="3">
        <v>142.58222961425699</v>
      </c>
      <c r="J118" s="3">
        <v>292.329986572265</v>
      </c>
      <c r="K118" s="3">
        <v>159.33615112304599</v>
      </c>
      <c r="L118" s="3">
        <v>4188.43017578125</v>
      </c>
      <c r="N118" s="3">
        <f t="shared" si="49"/>
        <v>-3.8507664013804899E-3</v>
      </c>
      <c r="O118" s="3">
        <f t="shared" si="57"/>
        <v>-7.4379154131927194E-3</v>
      </c>
      <c r="P118" s="3">
        <f t="shared" si="58"/>
        <v>1.0420374404326083E-2</v>
      </c>
      <c r="Q118" s="3">
        <f t="shared" si="59"/>
        <v>-9.5094291861439473E-3</v>
      </c>
      <c r="R118" s="3">
        <f t="shared" si="60"/>
        <v>-1.9001672485713605E-2</v>
      </c>
      <c r="S118" s="3">
        <f t="shared" si="61"/>
        <v>-1.4149453939209522E-2</v>
      </c>
      <c r="T118" s="3">
        <f t="shared" si="62"/>
        <v>1.8285639661357322E-3</v>
      </c>
      <c r="U118" s="3">
        <f t="shared" si="63"/>
        <v>2.8347237030912353E-3</v>
      </c>
      <c r="V118" s="3">
        <f t="shared" si="64"/>
        <v>-2.3185971136434169E-2</v>
      </c>
      <c r="W118" s="3">
        <f t="shared" si="65"/>
        <v>-1.6763044771908042E-2</v>
      </c>
      <c r="X118" s="3">
        <f t="shared" si="66"/>
        <v>-8.7117501417814935E-3</v>
      </c>
      <c r="AK118" s="3"/>
      <c r="AL118" s="8"/>
      <c r="AW118" s="3"/>
      <c r="AY118" s="5"/>
      <c r="AZ118" s="28">
        <f t="shared" si="55"/>
        <v>44322</v>
      </c>
      <c r="BA118" s="3">
        <f t="shared" si="56"/>
        <v>113</v>
      </c>
      <c r="BB118" s="3">
        <f t="shared" si="50"/>
        <v>1.2426165362146631</v>
      </c>
      <c r="BC118" s="3">
        <f t="shared" si="51"/>
        <v>1.2461026187513264</v>
      </c>
      <c r="BD118" s="3">
        <f t="shared" si="52"/>
        <v>1.3609993443673272</v>
      </c>
      <c r="BE118" s="3">
        <f t="shared" si="53"/>
        <v>0.89892668328060854</v>
      </c>
      <c r="BG118" s="3">
        <f t="shared" si="54"/>
        <v>6.3689705988916046E-3</v>
      </c>
      <c r="BH118" s="3">
        <f t="shared" si="67"/>
        <v>5.5125733369805474E-3</v>
      </c>
      <c r="BI118" s="3">
        <f t="shared" si="68"/>
        <v>7.4769544750985517E-3</v>
      </c>
      <c r="BJ118" s="3">
        <f t="shared" si="69"/>
        <v>8.8451143499136686E-3</v>
      </c>
    </row>
    <row r="119" spans="1:62" x14ac:dyDescent="0.3">
      <c r="A119" s="27">
        <v>44327</v>
      </c>
      <c r="B119" s="3">
        <v>244.74555969238199</v>
      </c>
      <c r="C119" s="3">
        <v>125.53842163085901</v>
      </c>
      <c r="D119" s="3">
        <v>3223.90991210937</v>
      </c>
      <c r="E119" s="3">
        <v>2270.06005859375</v>
      </c>
      <c r="F119" s="3">
        <v>617.20001220703102</v>
      </c>
      <c r="G119" s="3">
        <v>2308.76000976562</v>
      </c>
      <c r="H119" s="3">
        <v>306.52999877929602</v>
      </c>
      <c r="I119" s="3">
        <v>142.98698425292901</v>
      </c>
      <c r="J119" s="3">
        <v>285.63000488281199</v>
      </c>
      <c r="K119" s="3">
        <v>156.68745422363199</v>
      </c>
      <c r="L119" s="3">
        <v>4152.10009765625</v>
      </c>
      <c r="N119" s="3">
        <f t="shared" si="49"/>
        <v>-2.9802394654946163E-2</v>
      </c>
      <c r="O119" s="3">
        <f t="shared" si="57"/>
        <v>-2.5254711620833703E-2</v>
      </c>
      <c r="P119" s="3">
        <f t="shared" si="58"/>
        <v>-2.2576763668137545E-2</v>
      </c>
      <c r="Q119" s="3">
        <f t="shared" si="59"/>
        <v>-3.1235298401819378E-2</v>
      </c>
      <c r="R119" s="3">
        <f t="shared" si="60"/>
        <v>-4.5257036595020672E-2</v>
      </c>
      <c r="S119" s="3">
        <f t="shared" si="61"/>
        <v>-3.064548599329342E-2</v>
      </c>
      <c r="T119" s="3">
        <f t="shared" si="62"/>
        <v>-1.3069113165115276E-2</v>
      </c>
      <c r="U119" s="3">
        <f t="shared" si="63"/>
        <v>-3.9039583774942876E-2</v>
      </c>
      <c r="V119" s="3">
        <f t="shared" si="64"/>
        <v>-9.5684452538051801E-3</v>
      </c>
      <c r="W119" s="3">
        <f t="shared" si="65"/>
        <v>-6.899026119959295E-3</v>
      </c>
      <c r="X119" s="3">
        <f t="shared" si="66"/>
        <v>-2.1682782358302788E-2</v>
      </c>
      <c r="AK119" s="3"/>
      <c r="AL119" s="8"/>
      <c r="AW119" s="3"/>
      <c r="AY119" s="5"/>
      <c r="AZ119" s="28">
        <f t="shared" si="55"/>
        <v>44323</v>
      </c>
      <c r="BA119" s="3">
        <f t="shared" si="56"/>
        <v>114</v>
      </c>
      <c r="BB119" s="3">
        <f t="shared" si="50"/>
        <v>1.2505559806056505</v>
      </c>
      <c r="BC119" s="3">
        <f t="shared" si="51"/>
        <v>1.25299081923428</v>
      </c>
      <c r="BD119" s="3">
        <f t="shared" si="52"/>
        <v>1.3712136127300236</v>
      </c>
      <c r="BE119" s="3">
        <f t="shared" si="53"/>
        <v>0.90691306072881683</v>
      </c>
      <c r="BG119" s="3">
        <f t="shared" si="54"/>
        <v>-2.6479934499447161E-2</v>
      </c>
      <c r="BH119" s="3">
        <f t="shared" si="67"/>
        <v>-2.0939860158115831E-2</v>
      </c>
      <c r="BI119" s="3">
        <f t="shared" si="68"/>
        <v>-1.7320248302491847E-2</v>
      </c>
      <c r="BJ119" s="3">
        <f t="shared" si="69"/>
        <v>-1.1116228172133799E-2</v>
      </c>
    </row>
    <row r="120" spans="1:62" x14ac:dyDescent="0.3">
      <c r="A120" s="27">
        <v>44328</v>
      </c>
      <c r="B120" s="3">
        <v>237.55917358398401</v>
      </c>
      <c r="C120" s="3">
        <v>122.40768432617099</v>
      </c>
      <c r="D120" s="3">
        <v>3151.93994140625</v>
      </c>
      <c r="E120" s="3">
        <v>2200.25</v>
      </c>
      <c r="F120" s="3">
        <v>589.89001464843705</v>
      </c>
      <c r="G120" s="3">
        <v>2239.080078125</v>
      </c>
      <c r="H120" s="3">
        <v>302.54998779296801</v>
      </c>
      <c r="I120" s="3">
        <v>137.51239013671801</v>
      </c>
      <c r="J120" s="3">
        <v>282.91000366210898</v>
      </c>
      <c r="K120" s="3">
        <v>155.61018371582</v>
      </c>
      <c r="L120" s="3">
        <v>4063.0400390625</v>
      </c>
      <c r="N120" s="3">
        <f t="shared" si="49"/>
        <v>1.6721285251553475E-2</v>
      </c>
      <c r="O120" s="3">
        <f t="shared" si="57"/>
        <v>1.7761058792884477E-2</v>
      </c>
      <c r="P120" s="3">
        <f t="shared" si="58"/>
        <v>3.0189823464024101E-3</v>
      </c>
      <c r="Q120" s="3">
        <f t="shared" si="59"/>
        <v>1.3000026762228778E-2</v>
      </c>
      <c r="R120" s="3">
        <f t="shared" si="60"/>
        <v>-3.1339212976059905E-2</v>
      </c>
      <c r="S120" s="3">
        <f t="shared" si="61"/>
        <v>1.0170999947995973E-2</v>
      </c>
      <c r="T120" s="3">
        <f t="shared" si="62"/>
        <v>8.9173917569738137E-3</v>
      </c>
      <c r="U120" s="3">
        <f t="shared" si="63"/>
        <v>-6.8006931836315232E-3</v>
      </c>
      <c r="V120" s="3">
        <f t="shared" si="64"/>
        <v>1.4004862906510596E-2</v>
      </c>
      <c r="W120" s="3">
        <f t="shared" si="65"/>
        <v>2.5397258595186045E-2</v>
      </c>
      <c r="X120" s="3">
        <f t="shared" si="66"/>
        <v>1.2099644578093205E-2</v>
      </c>
      <c r="AK120" s="3"/>
      <c r="AL120" s="8"/>
      <c r="AW120" s="3"/>
      <c r="AY120" s="5"/>
      <c r="AZ120" s="28">
        <f t="shared" si="55"/>
        <v>44326</v>
      </c>
      <c r="BA120" s="3">
        <f t="shared" si="56"/>
        <v>115</v>
      </c>
      <c r="BB120" s="3">
        <f t="shared" si="50"/>
        <v>1.2178759324646666</v>
      </c>
      <c r="BC120" s="3">
        <f t="shared" si="51"/>
        <v>1.2270261635661852</v>
      </c>
      <c r="BD120" s="3">
        <f t="shared" si="52"/>
        <v>1.3476683460256846</v>
      </c>
      <c r="BE120" s="3">
        <f t="shared" si="53"/>
        <v>0.89688743502402835</v>
      </c>
      <c r="BG120" s="3">
        <f t="shared" si="54"/>
        <v>-8.6902852621487114E-3</v>
      </c>
      <c r="BH120" s="3">
        <f t="shared" si="67"/>
        <v>-9.6043053101869391E-3</v>
      </c>
      <c r="BI120" s="3">
        <f t="shared" si="68"/>
        <v>-1.0676689062199651E-2</v>
      </c>
      <c r="BJ120" s="3">
        <f t="shared" si="69"/>
        <v>-1.0272402626064728E-2</v>
      </c>
    </row>
    <row r="121" spans="1:62" x14ac:dyDescent="0.3">
      <c r="A121" s="27">
        <v>44329</v>
      </c>
      <c r="B121" s="3">
        <v>241.56486511230401</v>
      </c>
      <c r="C121" s="3">
        <v>124.601196289062</v>
      </c>
      <c r="D121" s="3">
        <v>3161.46997070312</v>
      </c>
      <c r="E121" s="3">
        <v>2229.0400390625</v>
      </c>
      <c r="F121" s="3">
        <v>571.69000244140602</v>
      </c>
      <c r="G121" s="3">
        <v>2261.96997070312</v>
      </c>
      <c r="H121" s="3">
        <v>305.260009765625</v>
      </c>
      <c r="I121" s="3">
        <v>136.58038330078099</v>
      </c>
      <c r="J121" s="3">
        <v>286.89999389648398</v>
      </c>
      <c r="K121" s="3">
        <v>159.612869262695</v>
      </c>
      <c r="L121" s="3">
        <v>4112.5</v>
      </c>
      <c r="N121" s="3">
        <f t="shared" si="49"/>
        <v>2.0848543444188294E-2</v>
      </c>
      <c r="O121" s="3">
        <f t="shared" si="57"/>
        <v>1.9650346234292293E-2</v>
      </c>
      <c r="P121" s="3">
        <f t="shared" si="58"/>
        <v>1.9244445019610978E-2</v>
      </c>
      <c r="Q121" s="3">
        <f t="shared" si="59"/>
        <v>2.189359563851756E-2</v>
      </c>
      <c r="R121" s="3">
        <f t="shared" si="60"/>
        <v>3.1084854551384211E-2</v>
      </c>
      <c r="S121" s="3">
        <f t="shared" si="61"/>
        <v>2.3674501951905569E-2</v>
      </c>
      <c r="T121" s="3">
        <f t="shared" si="62"/>
        <v>3.4388425390239341E-2</v>
      </c>
      <c r="U121" s="3">
        <f t="shared" si="63"/>
        <v>4.1409291578228036E-2</v>
      </c>
      <c r="V121" s="3">
        <f t="shared" si="64"/>
        <v>1.3089278838290141E-2</v>
      </c>
      <c r="W121" s="3">
        <f t="shared" si="65"/>
        <v>1.5422143274023803E-2</v>
      </c>
      <c r="X121" s="3">
        <f t="shared" si="66"/>
        <v>1.4807778563623586E-2</v>
      </c>
      <c r="AK121" s="3"/>
      <c r="AL121" s="8"/>
      <c r="AW121" s="3"/>
      <c r="AY121" s="5"/>
      <c r="AZ121" s="28">
        <f t="shared" si="55"/>
        <v>44327</v>
      </c>
      <c r="BA121" s="3">
        <f t="shared" si="56"/>
        <v>116</v>
      </c>
      <c r="BB121" s="3">
        <f t="shared" si="50"/>
        <v>1.2073380979107537</v>
      </c>
      <c r="BC121" s="3">
        <f t="shared" si="51"/>
        <v>1.215297841017164</v>
      </c>
      <c r="BD121" s="3">
        <f t="shared" si="52"/>
        <v>1.3333562489958588</v>
      </c>
      <c r="BE121" s="3">
        <f t="shared" si="53"/>
        <v>0.88772140535635291</v>
      </c>
      <c r="BG121" s="3">
        <f t="shared" si="54"/>
        <v>-2.505542994419685E-2</v>
      </c>
      <c r="BH121" s="3">
        <f t="shared" si="67"/>
        <v>-2.2457357715330167E-2</v>
      </c>
      <c r="BI121" s="3">
        <f t="shared" si="68"/>
        <v>-2.0577283078247133E-2</v>
      </c>
      <c r="BJ121" s="3">
        <f t="shared" si="69"/>
        <v>-1.7787300318638358E-2</v>
      </c>
    </row>
    <row r="122" spans="1:62" x14ac:dyDescent="0.3">
      <c r="A122" s="27">
        <v>44330</v>
      </c>
      <c r="B122" s="3">
        <v>246.65400695800699</v>
      </c>
      <c r="C122" s="3">
        <v>127.07386779785099</v>
      </c>
      <c r="D122" s="3">
        <v>3222.89990234375</v>
      </c>
      <c r="E122" s="3">
        <v>2278.3798828125</v>
      </c>
      <c r="F122" s="3">
        <v>589.739990234375</v>
      </c>
      <c r="G122" s="3">
        <v>2316.15991210937</v>
      </c>
      <c r="H122" s="3">
        <v>315.94000244140602</v>
      </c>
      <c r="I122" s="3">
        <v>142.35481262207</v>
      </c>
      <c r="J122" s="3">
        <v>290.67999267578102</v>
      </c>
      <c r="K122" s="3">
        <v>162.09352111816401</v>
      </c>
      <c r="L122" s="3">
        <v>4173.85009765625</v>
      </c>
      <c r="N122" s="3">
        <f t="shared" si="49"/>
        <v>-1.2040860978810741E-2</v>
      </c>
      <c r="O122" s="3">
        <f t="shared" si="57"/>
        <v>-9.3016890273140973E-3</v>
      </c>
      <c r="P122" s="3">
        <f t="shared" si="58"/>
        <v>1.4627665948035329E-2</v>
      </c>
      <c r="Q122" s="3">
        <f t="shared" si="59"/>
        <v>4.6154437956031913E-3</v>
      </c>
      <c r="R122" s="3">
        <f t="shared" si="60"/>
        <v>-2.2134119906305649E-2</v>
      </c>
      <c r="S122" s="3">
        <f t="shared" si="61"/>
        <v>2.2641178210660584E-3</v>
      </c>
      <c r="T122" s="3">
        <f t="shared" si="62"/>
        <v>-1.5204658962399975E-3</v>
      </c>
      <c r="U122" s="3">
        <f t="shared" si="63"/>
        <v>-5.4559558487259352E-3</v>
      </c>
      <c r="V122" s="3">
        <f t="shared" si="64"/>
        <v>-5.0353321442706545E-3</v>
      </c>
      <c r="W122" s="3">
        <f t="shared" si="65"/>
        <v>4.0161320976093151E-3</v>
      </c>
      <c r="X122" s="3">
        <f t="shared" si="66"/>
        <v>-2.5332581839609958E-3</v>
      </c>
      <c r="AK122" s="3"/>
      <c r="AL122" s="8"/>
      <c r="AW122" s="3"/>
      <c r="AY122" s="5"/>
      <c r="AZ122" s="28">
        <f t="shared" si="55"/>
        <v>44328</v>
      </c>
      <c r="BA122" s="3">
        <f t="shared" si="56"/>
        <v>117</v>
      </c>
      <c r="BB122" s="3">
        <f t="shared" si="50"/>
        <v>1.1774635455142708</v>
      </c>
      <c r="BC122" s="3">
        <f t="shared" si="51"/>
        <v>1.1883096387704404</v>
      </c>
      <c r="BD122" s="3">
        <f t="shared" si="52"/>
        <v>1.30619976160065</v>
      </c>
      <c r="BE122" s="3">
        <f t="shared" si="53"/>
        <v>0.87207084139609958</v>
      </c>
      <c r="BG122" s="3">
        <f t="shared" si="54"/>
        <v>7.6092751210496412E-3</v>
      </c>
      <c r="BH122" s="3">
        <f t="shared" si="67"/>
        <v>1.1114091360469508E-2</v>
      </c>
      <c r="BI122" s="3">
        <f t="shared" si="68"/>
        <v>9.5044619537335007E-3</v>
      </c>
      <c r="BJ122" s="3">
        <f t="shared" si="69"/>
        <v>9.9809026025878822E-3</v>
      </c>
    </row>
    <row r="123" spans="1:62" x14ac:dyDescent="0.3">
      <c r="A123" s="27">
        <v>44333</v>
      </c>
      <c r="B123" s="3">
        <v>243.701889038085</v>
      </c>
      <c r="C123" s="3">
        <v>125.897346496582</v>
      </c>
      <c r="D123" s="3">
        <v>3270.38989257812</v>
      </c>
      <c r="E123" s="3">
        <v>2288.919921875</v>
      </c>
      <c r="F123" s="3">
        <v>576.83001708984295</v>
      </c>
      <c r="G123" s="3">
        <v>2321.40991210937</v>
      </c>
      <c r="H123" s="3">
        <v>315.45999145507801</v>
      </c>
      <c r="I123" s="3">
        <v>141.58024597167901</v>
      </c>
      <c r="J123" s="3">
        <v>289.22000122070301</v>
      </c>
      <c r="K123" s="3">
        <v>162.74581909179599</v>
      </c>
      <c r="L123" s="3">
        <v>4163.2900390625</v>
      </c>
      <c r="N123" s="3">
        <f t="shared" si="49"/>
        <v>-8.6019074241390214E-3</v>
      </c>
      <c r="O123" s="3">
        <f t="shared" si="57"/>
        <v>-1.1309396624418433E-2</v>
      </c>
      <c r="P123" s="3">
        <f t="shared" si="58"/>
        <v>-1.1721431372190949E-2</v>
      </c>
      <c r="Q123" s="3">
        <f t="shared" si="59"/>
        <v>-1.1622932581676793E-2</v>
      </c>
      <c r="R123" s="3">
        <f t="shared" si="60"/>
        <v>1.8012960899778108E-3</v>
      </c>
      <c r="S123" s="3">
        <f t="shared" si="61"/>
        <v>-7.7754351118484166E-3</v>
      </c>
      <c r="T123" s="3">
        <f t="shared" si="62"/>
        <v>-1.7588634644218892E-2</v>
      </c>
      <c r="U123" s="3">
        <f t="shared" si="63"/>
        <v>-1.0627693396195959E-2</v>
      </c>
      <c r="V123" s="3">
        <f t="shared" si="64"/>
        <v>-5.6518064133275203E-3</v>
      </c>
      <c r="W123" s="3">
        <f t="shared" si="65"/>
        <v>-1.4188888953955647E-2</v>
      </c>
      <c r="X123" s="3">
        <f t="shared" si="66"/>
        <v>-8.5537723840332092E-3</v>
      </c>
      <c r="AK123" s="3"/>
      <c r="AL123" s="8"/>
      <c r="AW123" s="3"/>
      <c r="AY123" s="5"/>
      <c r="AZ123" s="28">
        <f t="shared" si="55"/>
        <v>44329</v>
      </c>
      <c r="BA123" s="3">
        <f t="shared" si="56"/>
        <v>118</v>
      </c>
      <c r="BB123" s="3">
        <f t="shared" si="50"/>
        <v>1.1864573644023149</v>
      </c>
      <c r="BC123" s="3">
        <f t="shared" si="51"/>
        <v>1.2015902851134648</v>
      </c>
      <c r="BD123" s="3">
        <f t="shared" si="52"/>
        <v>1.3186736725425301</v>
      </c>
      <c r="BE123" s="3">
        <f t="shared" si="53"/>
        <v>0.88081847756022458</v>
      </c>
      <c r="BG123" s="3">
        <f t="shared" si="54"/>
        <v>2.3689309412836146E-2</v>
      </c>
      <c r="BH123" s="3">
        <f t="shared" si="67"/>
        <v>2.1625834410131939E-2</v>
      </c>
      <c r="BI123" s="3">
        <f t="shared" si="68"/>
        <v>2.1397308017758299E-2</v>
      </c>
      <c r="BJ123" s="3">
        <f t="shared" si="69"/>
        <v>2.0360565500546976E-2</v>
      </c>
    </row>
    <row r="124" spans="1:62" x14ac:dyDescent="0.3">
      <c r="A124" s="27">
        <v>44334</v>
      </c>
      <c r="B124" s="3">
        <v>241.61457824707</v>
      </c>
      <c r="C124" s="3">
        <v>124.481544494628</v>
      </c>
      <c r="D124" s="3">
        <v>3232.28002929687</v>
      </c>
      <c r="E124" s="3">
        <v>2262.46997070312</v>
      </c>
      <c r="F124" s="3">
        <v>577.86999511718705</v>
      </c>
      <c r="G124" s="3">
        <v>2303.42993164062</v>
      </c>
      <c r="H124" s="3">
        <v>309.95999145507801</v>
      </c>
      <c r="I124" s="3">
        <v>140.08354187011699</v>
      </c>
      <c r="J124" s="3">
        <v>287.58999633789</v>
      </c>
      <c r="K124" s="3">
        <v>160.45294189453099</v>
      </c>
      <c r="L124" s="3">
        <v>4127.830078125</v>
      </c>
      <c r="N124" s="3">
        <f t="shared" si="49"/>
        <v>2.4709171877423941E-3</v>
      </c>
      <c r="O124" s="3">
        <f t="shared" si="57"/>
        <v>-1.2823211072925389E-3</v>
      </c>
      <c r="P124" s="3">
        <f t="shared" si="58"/>
        <v>-1.485069689195484E-4</v>
      </c>
      <c r="Q124" s="3">
        <f t="shared" si="59"/>
        <v>3.9832823308643128E-3</v>
      </c>
      <c r="R124" s="3">
        <f t="shared" si="60"/>
        <v>-2.525253639053826E-2</v>
      </c>
      <c r="S124" s="3">
        <f t="shared" si="61"/>
        <v>2.2896233533744592E-3</v>
      </c>
      <c r="T124" s="3">
        <f t="shared" si="62"/>
        <v>1.1643159206778719E-2</v>
      </c>
      <c r="U124" s="3">
        <f t="shared" si="63"/>
        <v>3.5610986790350907E-3</v>
      </c>
      <c r="V124" s="3">
        <f t="shared" si="64"/>
        <v>-4.7750918463504988E-3</v>
      </c>
      <c r="W124" s="3">
        <f t="shared" si="65"/>
        <v>-7.66713096028937E-3</v>
      </c>
      <c r="X124" s="3">
        <f t="shared" si="66"/>
        <v>-2.9477518113782963E-3</v>
      </c>
      <c r="AK124" s="3"/>
      <c r="AL124" s="8"/>
      <c r="AW124" s="3"/>
      <c r="AY124" s="5"/>
      <c r="AZ124" s="28">
        <f t="shared" si="55"/>
        <v>44330</v>
      </c>
      <c r="BA124" s="3">
        <f t="shared" si="56"/>
        <v>119</v>
      </c>
      <c r="BB124" s="3">
        <f t="shared" si="50"/>
        <v>1.2148992745360045</v>
      </c>
      <c r="BC124" s="3">
        <f t="shared" si="51"/>
        <v>1.2278586920047716</v>
      </c>
      <c r="BD124" s="3">
        <f t="shared" si="52"/>
        <v>1.3471937778880518</v>
      </c>
      <c r="BE124" s="3">
        <f t="shared" si="53"/>
        <v>0.898936258101934</v>
      </c>
      <c r="BG124" s="3">
        <f t="shared" si="54"/>
        <v>-2.8437489057245857E-3</v>
      </c>
      <c r="BH124" s="3">
        <f t="shared" si="67"/>
        <v>-1.8890675651773714E-3</v>
      </c>
      <c r="BI124" s="3">
        <f t="shared" si="68"/>
        <v>-4.1658651392613155E-3</v>
      </c>
      <c r="BJ124" s="3">
        <f t="shared" si="69"/>
        <v>-5.4848919818683839E-3</v>
      </c>
    </row>
    <row r="125" spans="1:62" x14ac:dyDescent="0.3">
      <c r="A125" s="27">
        <v>44335</v>
      </c>
      <c r="B125" s="3">
        <v>242.21232604980401</v>
      </c>
      <c r="C125" s="3">
        <v>124.322021484375</v>
      </c>
      <c r="D125" s="3">
        <v>3231.80004882812</v>
      </c>
      <c r="E125" s="3">
        <v>2271.5</v>
      </c>
      <c r="F125" s="3">
        <v>563.46002197265602</v>
      </c>
      <c r="G125" s="3">
        <v>2308.7099609375</v>
      </c>
      <c r="H125" s="3">
        <v>313.58999633789</v>
      </c>
      <c r="I125" s="3">
        <v>140.58328247070301</v>
      </c>
      <c r="J125" s="3">
        <v>286.22000122070301</v>
      </c>
      <c r="K125" s="3">
        <v>159.22743225097599</v>
      </c>
      <c r="L125" s="3">
        <v>4115.68017578125</v>
      </c>
      <c r="N125" s="3">
        <f t="shared" si="49"/>
        <v>1.3725714819736723E-2</v>
      </c>
      <c r="O125" s="3">
        <f t="shared" si="57"/>
        <v>2.0794388607059844E-2</v>
      </c>
      <c r="P125" s="3">
        <f t="shared" si="58"/>
        <v>4.9016015649794298E-3</v>
      </c>
      <c r="Q125" s="3">
        <f t="shared" si="59"/>
        <v>1.5485878405146813E-2</v>
      </c>
      <c r="R125" s="3">
        <f t="shared" si="60"/>
        <v>4.0553627412751148E-2</v>
      </c>
      <c r="S125" s="3">
        <f t="shared" si="61"/>
        <v>2.0314592633799755E-2</v>
      </c>
      <c r="T125" s="3">
        <f t="shared" si="62"/>
        <v>1.5881349792114641E-2</v>
      </c>
      <c r="U125" s="3">
        <f t="shared" si="63"/>
        <v>3.8134456433091657E-2</v>
      </c>
      <c r="V125" s="3">
        <f t="shared" si="64"/>
        <v>1.7802945788050195E-3</v>
      </c>
      <c r="W125" s="3">
        <f t="shared" si="65"/>
        <v>-1.739487671613027E-3</v>
      </c>
      <c r="X125" s="3">
        <f t="shared" si="66"/>
        <v>1.0499429334508648E-2</v>
      </c>
      <c r="AK125" s="3"/>
      <c r="AL125" s="8"/>
      <c r="AW125" s="3"/>
      <c r="AY125" s="5"/>
      <c r="AZ125" s="28">
        <f t="shared" si="55"/>
        <v>44333</v>
      </c>
      <c r="BA125" s="3">
        <f t="shared" si="56"/>
        <v>120</v>
      </c>
      <c r="BB125" s="3">
        <f t="shared" si="50"/>
        <v>1.2114493137894853</v>
      </c>
      <c r="BC125" s="3">
        <f t="shared" si="51"/>
        <v>1.2255413734498717</v>
      </c>
      <c r="BD125" s="3">
        <f t="shared" si="52"/>
        <v>1.3415932239686188</v>
      </c>
      <c r="BE125" s="3">
        <f t="shared" si="53"/>
        <v>0.89401918695681659</v>
      </c>
      <c r="BG125" s="3">
        <f t="shared" si="54"/>
        <v>-9.7387623025695091E-3</v>
      </c>
      <c r="BH125" s="3">
        <f t="shared" si="67"/>
        <v>-9.9730275704394133E-3</v>
      </c>
      <c r="BI125" s="3">
        <f t="shared" si="68"/>
        <v>-9.3556438916237439E-3</v>
      </c>
      <c r="BJ125" s="3">
        <f t="shared" si="69"/>
        <v>-9.1463013592051889E-3</v>
      </c>
    </row>
    <row r="126" spans="1:62" x14ac:dyDescent="0.3">
      <c r="A126" s="27">
        <v>44336</v>
      </c>
      <c r="B126" s="3">
        <v>245.55978393554599</v>
      </c>
      <c r="C126" s="3">
        <v>126.934288024902</v>
      </c>
      <c r="D126" s="3">
        <v>3247.67993164062</v>
      </c>
      <c r="E126" s="3">
        <v>2306.94995117187</v>
      </c>
      <c r="F126" s="3">
        <v>586.780029296875</v>
      </c>
      <c r="G126" s="3">
        <v>2356.09008789062</v>
      </c>
      <c r="H126" s="3">
        <v>318.60998535156199</v>
      </c>
      <c r="I126" s="3">
        <v>146.04788208007801</v>
      </c>
      <c r="J126" s="3">
        <v>286.73001098632801</v>
      </c>
      <c r="K126" s="3">
        <v>158.95069885253901</v>
      </c>
      <c r="L126" s="3">
        <v>4159.1201171875</v>
      </c>
      <c r="N126" s="3">
        <f t="shared" si="49"/>
        <v>-5.3290294983314723E-3</v>
      </c>
      <c r="O126" s="3">
        <f t="shared" si="57"/>
        <v>-1.4877213932320998E-2</v>
      </c>
      <c r="P126" s="3">
        <f t="shared" si="58"/>
        <v>-1.3828002939485273E-2</v>
      </c>
      <c r="Q126" s="3">
        <f t="shared" si="59"/>
        <v>-5.5726490296068576E-3</v>
      </c>
      <c r="R126" s="3">
        <f t="shared" si="60"/>
        <v>-1.0105808975394481E-2</v>
      </c>
      <c r="S126" s="3">
        <f t="shared" si="61"/>
        <v>-4.6754161479389822E-3</v>
      </c>
      <c r="T126" s="3">
        <f t="shared" si="62"/>
        <v>-7.4979066500402425E-3</v>
      </c>
      <c r="U126" s="3">
        <f t="shared" si="63"/>
        <v>2.5622711851575275E-2</v>
      </c>
      <c r="V126" s="3">
        <f t="shared" si="64"/>
        <v>3.5162159433808071E-3</v>
      </c>
      <c r="W126" s="3">
        <f t="shared" si="65"/>
        <v>1.1314180127020457E-2</v>
      </c>
      <c r="X126" s="3">
        <f t="shared" si="66"/>
        <v>-7.8418807525260092E-4</v>
      </c>
      <c r="AK126" s="3"/>
      <c r="AL126" s="8"/>
      <c r="AW126" s="3"/>
      <c r="AY126" s="5"/>
      <c r="AZ126" s="28">
        <f t="shared" si="55"/>
        <v>44334</v>
      </c>
      <c r="BA126" s="3">
        <f t="shared" si="56"/>
        <v>121</v>
      </c>
      <c r="BB126" s="3">
        <f t="shared" si="50"/>
        <v>1.1997085598810231</v>
      </c>
      <c r="BC126" s="3">
        <f t="shared" si="51"/>
        <v>1.2133797603955199</v>
      </c>
      <c r="BD126" s="3">
        <f t="shared" si="52"/>
        <v>1.3291002863788077</v>
      </c>
      <c r="BE126" s="3">
        <f t="shared" si="53"/>
        <v>0.88587949881595662</v>
      </c>
      <c r="BG126" s="3">
        <f t="shared" si="54"/>
        <v>-1.6330661384663936E-3</v>
      </c>
      <c r="BH126" s="3">
        <f t="shared" si="67"/>
        <v>-9.0004388511516487E-4</v>
      </c>
      <c r="BI126" s="3">
        <f t="shared" si="68"/>
        <v>-4.8977356962920937E-3</v>
      </c>
      <c r="BJ126" s="3">
        <f t="shared" si="69"/>
        <v>-7.3708494311176403E-3</v>
      </c>
    </row>
    <row r="127" spans="1:62" x14ac:dyDescent="0.3">
      <c r="A127" s="27">
        <v>44337</v>
      </c>
      <c r="B127" s="3">
        <v>244.25466918945301</v>
      </c>
      <c r="C127" s="3">
        <v>125.059837341308</v>
      </c>
      <c r="D127" s="3">
        <v>3203.080078125</v>
      </c>
      <c r="E127" s="3">
        <v>2294.1298828125</v>
      </c>
      <c r="F127" s="3">
        <v>580.88000488281205</v>
      </c>
      <c r="G127" s="3">
        <v>2345.10009765625</v>
      </c>
      <c r="H127" s="3">
        <v>316.23001098632801</v>
      </c>
      <c r="I127" s="3">
        <v>149.83837890625</v>
      </c>
      <c r="J127" s="3">
        <v>287.739990234375</v>
      </c>
      <c r="K127" s="3">
        <v>160.75930786132801</v>
      </c>
      <c r="L127" s="3">
        <v>4155.85986328125</v>
      </c>
      <c r="N127" s="3">
        <f t="shared" si="49"/>
        <v>2.2624254218984063E-2</v>
      </c>
      <c r="O127" s="3">
        <f t="shared" si="57"/>
        <v>1.3226328372152985E-2</v>
      </c>
      <c r="P127" s="3">
        <f t="shared" si="58"/>
        <v>1.2999394187607649E-2</v>
      </c>
      <c r="Q127" s="3">
        <f t="shared" si="59"/>
        <v>2.8748580885356922E-2</v>
      </c>
      <c r="R127" s="3">
        <f t="shared" si="60"/>
        <v>4.3061595761301419E-2</v>
      </c>
      <c r="S127" s="3">
        <f t="shared" si="61"/>
        <v>2.5915930260413056E-2</v>
      </c>
      <c r="T127" s="3">
        <f t="shared" si="62"/>
        <v>2.6216255616046347E-2</v>
      </c>
      <c r="U127" s="3">
        <f t="shared" si="63"/>
        <v>4.0539749582576334E-2</v>
      </c>
      <c r="V127" s="3">
        <f t="shared" si="64"/>
        <v>6.8922320653204139E-3</v>
      </c>
      <c r="W127" s="3">
        <f t="shared" si="65"/>
        <v>5.3954964945752693E-3</v>
      </c>
      <c r="X127" s="3">
        <f t="shared" si="66"/>
        <v>9.862497481215371E-3</v>
      </c>
      <c r="AK127" s="3"/>
      <c r="AL127" s="8"/>
      <c r="AW127" s="3"/>
      <c r="AY127" s="5"/>
      <c r="AZ127" s="28">
        <f t="shared" si="55"/>
        <v>44335</v>
      </c>
      <c r="BA127" s="3">
        <f t="shared" si="56"/>
        <v>122</v>
      </c>
      <c r="BB127" s="3">
        <f t="shared" si="50"/>
        <v>1.1977509553397596</v>
      </c>
      <c r="BC127" s="3">
        <f t="shared" si="51"/>
        <v>1.2122881566811678</v>
      </c>
      <c r="BD127" s="3">
        <f t="shared" si="52"/>
        <v>1.3226066195748456</v>
      </c>
      <c r="BE127" s="3">
        <f t="shared" si="53"/>
        <v>0.87937382005947107</v>
      </c>
      <c r="BG127" s="3">
        <f t="shared" si="54"/>
        <v>1.6477544056337362E-2</v>
      </c>
      <c r="BH127" s="3">
        <f t="shared" si="67"/>
        <v>1.3137917032022606E-2</v>
      </c>
      <c r="BI127" s="3">
        <f t="shared" si="68"/>
        <v>1.324956387723486E-2</v>
      </c>
      <c r="BJ127" s="3">
        <f t="shared" si="69"/>
        <v>1.1700003393676911E-2</v>
      </c>
    </row>
    <row r="128" spans="1:62" x14ac:dyDescent="0.3">
      <c r="A128" s="27">
        <v>44340</v>
      </c>
      <c r="B128" s="3">
        <v>249.84373474121</v>
      </c>
      <c r="C128" s="3">
        <v>126.72490692138599</v>
      </c>
      <c r="D128" s="3">
        <v>3244.98999023437</v>
      </c>
      <c r="E128" s="3">
        <v>2361.0400390625</v>
      </c>
      <c r="F128" s="3">
        <v>606.44000244140602</v>
      </c>
      <c r="G128" s="3">
        <v>2406.669921875</v>
      </c>
      <c r="H128" s="3">
        <v>324.63000488281199</v>
      </c>
      <c r="I128" s="3">
        <v>156.03759765625</v>
      </c>
      <c r="J128" s="3">
        <v>289.73001098632801</v>
      </c>
      <c r="K128" s="3">
        <v>161.62902832031199</v>
      </c>
      <c r="L128" s="3">
        <v>4197.0498046875</v>
      </c>
      <c r="N128" s="3">
        <f t="shared" si="49"/>
        <v>3.7413071791378982E-3</v>
      </c>
      <c r="O128" s="3">
        <f t="shared" si="57"/>
        <v>-1.5748012452716509E-3</v>
      </c>
      <c r="P128" s="3">
        <f t="shared" si="58"/>
        <v>4.3234913717817847E-3</v>
      </c>
      <c r="Q128" s="3">
        <f t="shared" si="59"/>
        <v>7.7481499690801314E-4</v>
      </c>
      <c r="R128" s="3">
        <f t="shared" si="60"/>
        <v>-2.8898651851498869E-3</v>
      </c>
      <c r="S128" s="3">
        <f t="shared" si="61"/>
        <v>9.9679247134165649E-4</v>
      </c>
      <c r="T128" s="3">
        <f t="shared" si="62"/>
        <v>9.6870982135053296E-3</v>
      </c>
      <c r="U128" s="3">
        <f t="shared" si="63"/>
        <v>2.2873113865724548E-3</v>
      </c>
      <c r="V128" s="3">
        <f t="shared" si="64"/>
        <v>-8.7706130574893848E-3</v>
      </c>
      <c r="W128" s="3">
        <f t="shared" si="65"/>
        <v>-1.0387566030710005E-2</v>
      </c>
      <c r="X128" s="3">
        <f t="shared" si="66"/>
        <v>-2.1275454008282679E-3</v>
      </c>
      <c r="AK128" s="3"/>
      <c r="AL128" s="8"/>
      <c r="AW128" s="3"/>
      <c r="AY128" s="5"/>
      <c r="AZ128" s="28">
        <f t="shared" si="55"/>
        <v>44336</v>
      </c>
      <c r="BA128" s="3">
        <f t="shared" si="56"/>
        <v>123</v>
      </c>
      <c r="BB128" s="3">
        <f t="shared" si="50"/>
        <v>1.2176504466072835</v>
      </c>
      <c r="BC128" s="3">
        <f t="shared" si="51"/>
        <v>1.228320181005478</v>
      </c>
      <c r="BD128" s="3">
        <f t="shared" si="52"/>
        <v>1.3402471873124546</v>
      </c>
      <c r="BE128" s="3">
        <f t="shared" si="53"/>
        <v>0.88972292093901617</v>
      </c>
      <c r="BG128" s="3">
        <f t="shared" si="54"/>
        <v>-1.7801665977659198E-3</v>
      </c>
      <c r="BH128" s="3">
        <f t="shared" si="67"/>
        <v>-1.8431181024501087E-3</v>
      </c>
      <c r="BI128" s="3">
        <f t="shared" si="68"/>
        <v>4.6572431698436723E-3</v>
      </c>
      <c r="BJ128" s="3">
        <f t="shared" si="69"/>
        <v>1.0594537508082813E-2</v>
      </c>
    </row>
    <row r="129" spans="1:62" x14ac:dyDescent="0.3">
      <c r="A129" s="27">
        <v>44341</v>
      </c>
      <c r="B129" s="3">
        <v>250.78022766113199</v>
      </c>
      <c r="C129" s="3">
        <v>126.525497436523</v>
      </c>
      <c r="D129" s="3">
        <v>3259.05004882812</v>
      </c>
      <c r="E129" s="3">
        <v>2362.8701171875</v>
      </c>
      <c r="F129" s="3">
        <v>604.69000244140602</v>
      </c>
      <c r="G129" s="3">
        <v>2409.07006835937</v>
      </c>
      <c r="H129" s="3">
        <v>327.79000854492102</v>
      </c>
      <c r="I129" s="3">
        <v>156.39491271972599</v>
      </c>
      <c r="J129" s="3">
        <v>287.20001220703102</v>
      </c>
      <c r="K129" s="3">
        <v>159.95878601074199</v>
      </c>
      <c r="L129" s="3">
        <v>4188.1298828125</v>
      </c>
      <c r="N129" s="3">
        <f t="shared" si="49"/>
        <v>-9.1413101423665211E-4</v>
      </c>
      <c r="O129" s="3">
        <f t="shared" si="57"/>
        <v>-3.9407303574545693E-4</v>
      </c>
      <c r="P129" s="3">
        <f t="shared" si="58"/>
        <v>1.8729823546390634E-3</v>
      </c>
      <c r="Q129" s="3">
        <f t="shared" si="59"/>
        <v>7.3537244430452731E-3</v>
      </c>
      <c r="R129" s="3">
        <f t="shared" si="60"/>
        <v>2.3599340621918152E-2</v>
      </c>
      <c r="S129" s="3">
        <f t="shared" si="61"/>
        <v>1.010208089027298E-2</v>
      </c>
      <c r="T129" s="3">
        <f t="shared" si="62"/>
        <v>-3.9668893766364732E-4</v>
      </c>
      <c r="U129" s="3">
        <f t="shared" si="63"/>
        <v>3.3336255455473918E-3</v>
      </c>
      <c r="V129" s="3">
        <f t="shared" si="64"/>
        <v>4.5245458976062025E-4</v>
      </c>
      <c r="W129" s="3">
        <f t="shared" si="65"/>
        <v>-1.2363567901019223E-4</v>
      </c>
      <c r="X129" s="3">
        <f t="shared" si="66"/>
        <v>1.8750575506114586E-3</v>
      </c>
      <c r="AK129" s="3"/>
      <c r="AL129" s="8"/>
      <c r="AW129" s="3"/>
      <c r="AY129" s="5"/>
      <c r="AZ129" s="28">
        <f t="shared" si="55"/>
        <v>44337</v>
      </c>
      <c r="BA129" s="3">
        <f t="shared" si="56"/>
        <v>124</v>
      </c>
      <c r="BB129" s="3">
        <f t="shared" si="50"/>
        <v>1.2154847541730667</v>
      </c>
      <c r="BC129" s="3">
        <f t="shared" si="51"/>
        <v>1.2260583269166792</v>
      </c>
      <c r="BD129" s="3">
        <f t="shared" si="52"/>
        <v>1.3465036018850653</v>
      </c>
      <c r="BE129" s="3">
        <f t="shared" si="53"/>
        <v>0.89919923373409549</v>
      </c>
      <c r="BG129" s="3">
        <f t="shared" si="54"/>
        <v>2.2435545508175114E-2</v>
      </c>
      <c r="BH129" s="3">
        <f t="shared" si="67"/>
        <v>1.937122911410899E-2</v>
      </c>
      <c r="BI129" s="3">
        <f t="shared" si="68"/>
        <v>1.6756727722081477E-2</v>
      </c>
      <c r="BJ129" s="3">
        <f t="shared" si="69"/>
        <v>1.2562757762254712E-2</v>
      </c>
    </row>
    <row r="130" spans="1:62" x14ac:dyDescent="0.3">
      <c r="A130" s="27">
        <v>44342</v>
      </c>
      <c r="B130" s="3">
        <v>250.55108642578099</v>
      </c>
      <c r="C130" s="3">
        <v>126.47564697265599</v>
      </c>
      <c r="D130" s="3">
        <v>3265.15991210937</v>
      </c>
      <c r="E130" s="3">
        <v>2380.31005859375</v>
      </c>
      <c r="F130" s="3">
        <v>619.13000488281205</v>
      </c>
      <c r="G130" s="3">
        <v>2433.53002929687</v>
      </c>
      <c r="H130" s="3">
        <v>327.66000366210898</v>
      </c>
      <c r="I130" s="3">
        <v>156.91714477539</v>
      </c>
      <c r="J130" s="3">
        <v>287.329986572265</v>
      </c>
      <c r="K130" s="3">
        <v>159.93901062011699</v>
      </c>
      <c r="L130" s="3">
        <v>4195.990234375</v>
      </c>
      <c r="N130" s="3">
        <f t="shared" si="49"/>
        <v>-8.7061194816477894E-3</v>
      </c>
      <c r="O130" s="3">
        <f t="shared" si="57"/>
        <v>-1.2454069442104476E-2</v>
      </c>
      <c r="P130" s="3">
        <f t="shared" si="58"/>
        <v>-1.0792513565530015E-2</v>
      </c>
      <c r="Q130" s="3">
        <f t="shared" si="59"/>
        <v>-7.4342168915508822E-3</v>
      </c>
      <c r="R130" s="3">
        <f t="shared" si="60"/>
        <v>1.8752802997534346E-2</v>
      </c>
      <c r="S130" s="3">
        <f t="shared" si="61"/>
        <v>-1.2828861927654422E-2</v>
      </c>
      <c r="T130" s="3">
        <f t="shared" si="62"/>
        <v>1.541496070655235E-2</v>
      </c>
      <c r="U130" s="3">
        <f t="shared" si="63"/>
        <v>-1.3595182046066689E-2</v>
      </c>
      <c r="V130" s="3">
        <f t="shared" si="64"/>
        <v>6.8328355196056734E-3</v>
      </c>
      <c r="W130" s="3">
        <f t="shared" si="65"/>
        <v>1.5451905355769568E-2</v>
      </c>
      <c r="X130" s="3">
        <f t="shared" si="66"/>
        <v>1.164636089862725E-3</v>
      </c>
      <c r="AK130" s="3"/>
      <c r="AL130" s="8"/>
      <c r="AW130" s="3"/>
      <c r="AY130" s="5"/>
      <c r="AZ130" s="28">
        <f t="shared" si="55"/>
        <v>44340</v>
      </c>
      <c r="BA130" s="3">
        <f t="shared" si="56"/>
        <v>125</v>
      </c>
      <c r="BB130" s="3">
        <f t="shared" si="50"/>
        <v>1.2430630277027466</v>
      </c>
      <c r="BC130" s="3">
        <f t="shared" si="51"/>
        <v>1.2500401120874371</v>
      </c>
      <c r="BD130" s="3">
        <f t="shared" si="52"/>
        <v>1.3692566974350915</v>
      </c>
      <c r="BE130" s="3">
        <f t="shared" si="53"/>
        <v>0.91056691106960419</v>
      </c>
      <c r="BG130" s="3">
        <f t="shared" si="54"/>
        <v>-4.3988797658836565E-4</v>
      </c>
      <c r="BH130" s="3">
        <f t="shared" si="67"/>
        <v>-1.1071370029784866E-3</v>
      </c>
      <c r="BI130" s="3">
        <f t="shared" si="68"/>
        <v>-4.3287724786324477E-3</v>
      </c>
      <c r="BJ130" s="3">
        <f t="shared" si="69"/>
        <v>-7.0400827877793309E-3</v>
      </c>
    </row>
    <row r="131" spans="1:62" x14ac:dyDescent="0.3">
      <c r="A131" s="27">
        <v>44343</v>
      </c>
      <c r="B131" s="3">
        <v>248.37922668457</v>
      </c>
      <c r="C131" s="3">
        <v>124.910278320312</v>
      </c>
      <c r="D131" s="3">
        <v>3230.11010742187</v>
      </c>
      <c r="E131" s="3">
        <v>2362.67993164062</v>
      </c>
      <c r="F131" s="3">
        <v>630.84997558593705</v>
      </c>
      <c r="G131" s="3">
        <v>2402.51000976562</v>
      </c>
      <c r="H131" s="3">
        <v>332.75</v>
      </c>
      <c r="I131" s="3">
        <v>154.79826354980401</v>
      </c>
      <c r="J131" s="3">
        <v>289.29998779296801</v>
      </c>
      <c r="K131" s="3">
        <v>162.42956542968699</v>
      </c>
      <c r="L131" s="3">
        <v>4200.8798828125</v>
      </c>
      <c r="N131" s="3">
        <f t="shared" si="49"/>
        <v>1.482886035201858E-3</v>
      </c>
      <c r="O131" s="3">
        <f t="shared" si="57"/>
        <v>-5.3623677390222113E-3</v>
      </c>
      <c r="P131" s="3">
        <f t="shared" si="58"/>
        <v>-2.1818829363642323E-3</v>
      </c>
      <c r="Q131" s="3">
        <f t="shared" si="59"/>
        <v>-2.4705158832993845E-3</v>
      </c>
      <c r="R131" s="3">
        <f t="shared" si="60"/>
        <v>-8.9645367330541958E-3</v>
      </c>
      <c r="S131" s="3">
        <f t="shared" si="61"/>
        <v>3.7598370446865204E-3</v>
      </c>
      <c r="T131" s="3">
        <f t="shared" si="62"/>
        <v>-1.2154678715242007E-2</v>
      </c>
      <c r="U131" s="3">
        <f t="shared" si="63"/>
        <v>4.7688934889204226E-2</v>
      </c>
      <c r="V131" s="3">
        <f t="shared" si="64"/>
        <v>4.8386029489044802E-4</v>
      </c>
      <c r="W131" s="3">
        <f t="shared" si="65"/>
        <v>-6.6945942619778265E-4</v>
      </c>
      <c r="X131" s="3">
        <f t="shared" si="66"/>
        <v>7.6858645288702121E-4</v>
      </c>
      <c r="AK131" s="3"/>
      <c r="AL131" s="8"/>
      <c r="AW131" s="3"/>
      <c r="AY131" s="5"/>
      <c r="AZ131" s="28">
        <f t="shared" si="55"/>
        <v>44341</v>
      </c>
      <c r="BA131" s="3">
        <f t="shared" si="56"/>
        <v>126</v>
      </c>
      <c r="BB131" s="3">
        <f t="shared" si="50"/>
        <v>1.2425163394723238</v>
      </c>
      <c r="BC131" s="3">
        <f t="shared" si="51"/>
        <v>1.2486569122612812</v>
      </c>
      <c r="BD131" s="3">
        <f t="shared" si="52"/>
        <v>1.3633423069878008</v>
      </c>
      <c r="BE131" s="3">
        <f t="shared" si="53"/>
        <v>0.90417895687873706</v>
      </c>
      <c r="BG131" s="3">
        <f t="shared" si="54"/>
        <v>4.6515232207835211E-3</v>
      </c>
      <c r="BH131" s="3">
        <f t="shared" si="67"/>
        <v>3.3071238242338707E-3</v>
      </c>
      <c r="BI131" s="3">
        <f t="shared" si="68"/>
        <v>1.9529574468352684E-3</v>
      </c>
      <c r="BJ131" s="3">
        <f t="shared" si="69"/>
        <v>-9.0807003465054326E-4</v>
      </c>
    </row>
    <row r="132" spans="1:62" x14ac:dyDescent="0.3">
      <c r="A132" s="27">
        <v>44344</v>
      </c>
      <c r="B132" s="3">
        <v>248.74781799316401</v>
      </c>
      <c r="C132" s="3">
        <v>124.24225616455</v>
      </c>
      <c r="D132" s="3">
        <v>3223.07006835937</v>
      </c>
      <c r="E132" s="3">
        <v>2356.85009765625</v>
      </c>
      <c r="F132" s="3">
        <v>625.219970703125</v>
      </c>
      <c r="G132" s="3">
        <v>2411.56005859375</v>
      </c>
      <c r="H132" s="3">
        <v>328.73001098632801</v>
      </c>
      <c r="I132" s="3">
        <v>162.359283447265</v>
      </c>
      <c r="J132" s="3">
        <v>289.44000244140602</v>
      </c>
      <c r="K132" s="3">
        <v>162.32086181640599</v>
      </c>
      <c r="L132" s="3">
        <v>4204.10986328125</v>
      </c>
      <c r="N132" s="3">
        <f t="shared" ref="N132:N195" si="70">LN(B133)-LN(B132)</f>
        <v>-9.1735629948264119E-3</v>
      </c>
      <c r="O132" s="3">
        <f t="shared" si="57"/>
        <v>-2.6517685766842547E-3</v>
      </c>
      <c r="P132" s="3">
        <f t="shared" si="58"/>
        <v>-1.3723560569083304E-3</v>
      </c>
      <c r="Q132" s="3">
        <f t="shared" si="59"/>
        <v>1.0270111283817052E-2</v>
      </c>
      <c r="R132" s="3">
        <f t="shared" si="60"/>
        <v>-2.1134026923190774E-3</v>
      </c>
      <c r="S132" s="3">
        <f t="shared" si="61"/>
        <v>7.5392238156455349E-3</v>
      </c>
      <c r="T132" s="3">
        <f t="shared" si="62"/>
        <v>1.2160457730416852E-3</v>
      </c>
      <c r="U132" s="3">
        <f t="shared" si="63"/>
        <v>1.2304020138653726E-3</v>
      </c>
      <c r="V132" s="3">
        <f t="shared" si="64"/>
        <v>1.3810038699704208E-3</v>
      </c>
      <c r="W132" s="3">
        <f t="shared" si="65"/>
        <v>1.0960166937334925E-2</v>
      </c>
      <c r="X132" s="3">
        <f t="shared" si="66"/>
        <v>-4.9245475863024524E-4</v>
      </c>
      <c r="AK132" s="3"/>
      <c r="AL132" s="8"/>
      <c r="AW132" s="3"/>
      <c r="AY132" s="5"/>
      <c r="AZ132" s="28">
        <f t="shared" si="55"/>
        <v>44342</v>
      </c>
      <c r="BA132" s="3">
        <f t="shared" si="56"/>
        <v>127</v>
      </c>
      <c r="BB132" s="3">
        <f t="shared" si="50"/>
        <v>1.2483093959006304</v>
      </c>
      <c r="BC132" s="3">
        <f t="shared" si="51"/>
        <v>1.252793211140484</v>
      </c>
      <c r="BD132" s="3">
        <f t="shared" si="52"/>
        <v>1.3660074581151054</v>
      </c>
      <c r="BE132" s="3">
        <f t="shared" si="53"/>
        <v>0.90335827173822003</v>
      </c>
      <c r="BG132" s="3">
        <f t="shared" si="54"/>
        <v>-4.4355713762439519E-4</v>
      </c>
      <c r="BH132" s="3">
        <f t="shared" si="67"/>
        <v>-8.6829613688260698E-4</v>
      </c>
      <c r="BI132" s="3">
        <f t="shared" si="68"/>
        <v>1.6497368690245318E-3</v>
      </c>
      <c r="BJ132" s="3">
        <f t="shared" si="69"/>
        <v>1.8435482654817897E-3</v>
      </c>
    </row>
    <row r="133" spans="1:62" x14ac:dyDescent="0.3">
      <c r="A133" s="27">
        <v>44348</v>
      </c>
      <c r="B133" s="3">
        <v>246.47634887695301</v>
      </c>
      <c r="C133" s="3">
        <v>123.91323089599599</v>
      </c>
      <c r="D133" s="3">
        <v>3218.64990234375</v>
      </c>
      <c r="E133" s="3">
        <v>2381.17993164062</v>
      </c>
      <c r="F133" s="3">
        <v>623.90002441406205</v>
      </c>
      <c r="G133" s="3">
        <v>2429.81005859375</v>
      </c>
      <c r="H133" s="3">
        <v>329.13000488281199</v>
      </c>
      <c r="I133" s="3">
        <v>162.55917358398401</v>
      </c>
      <c r="J133" s="3">
        <v>289.83999633789</v>
      </c>
      <c r="K133" s="3">
        <v>164.10971069335901</v>
      </c>
      <c r="L133" s="3">
        <v>4202.0400390625</v>
      </c>
      <c r="N133" s="3">
        <f t="shared" si="70"/>
        <v>-4.042772200456568E-4</v>
      </c>
      <c r="O133" s="3">
        <f t="shared" si="57"/>
        <v>6.2565103492131513E-3</v>
      </c>
      <c r="P133" s="3">
        <f t="shared" si="58"/>
        <v>4.7546793391237685E-3</v>
      </c>
      <c r="Q133" s="3">
        <f t="shared" si="59"/>
        <v>-4.4572280387011887E-3</v>
      </c>
      <c r="R133" s="3">
        <f t="shared" si="60"/>
        <v>-3.0563360847182253E-2</v>
      </c>
      <c r="S133" s="3">
        <f t="shared" si="61"/>
        <v>-3.5167510533185009E-3</v>
      </c>
      <c r="T133" s="3">
        <f t="shared" si="62"/>
        <v>6.0731037598849014E-5</v>
      </c>
      <c r="U133" s="3">
        <f t="shared" si="63"/>
        <v>3.1098446884901598E-2</v>
      </c>
      <c r="V133" s="3">
        <f t="shared" si="64"/>
        <v>6.2081428658267157E-4</v>
      </c>
      <c r="W133" s="3">
        <f t="shared" si="65"/>
        <v>6.0155730836619625E-5</v>
      </c>
      <c r="X133" s="3">
        <f t="shared" si="66"/>
        <v>1.4458890369013488E-3</v>
      </c>
      <c r="AK133" s="3"/>
      <c r="AL133" s="8"/>
      <c r="AW133" s="3"/>
      <c r="AY133" s="5"/>
      <c r="AZ133" s="28">
        <f t="shared" si="55"/>
        <v>44343</v>
      </c>
      <c r="BA133" s="3">
        <f t="shared" si="56"/>
        <v>128</v>
      </c>
      <c r="BB133" s="3">
        <f t="shared" si="50"/>
        <v>1.2477558221379879</v>
      </c>
      <c r="BC133" s="3">
        <f t="shared" si="51"/>
        <v>1.2517058877625968</v>
      </c>
      <c r="BD133" s="3">
        <f t="shared" si="52"/>
        <v>1.3682628708893911</v>
      </c>
      <c r="BE133" s="3">
        <f t="shared" si="53"/>
        <v>0.90502519236539769</v>
      </c>
      <c r="BG133" s="3">
        <f t="shared" si="54"/>
        <v>2.136220002955741E-3</v>
      </c>
      <c r="BH133" s="3">
        <f t="shared" si="67"/>
        <v>1.0658648803739124E-3</v>
      </c>
      <c r="BI133" s="3">
        <f t="shared" si="68"/>
        <v>8.2106428978593882E-3</v>
      </c>
      <c r="BJ133" s="3">
        <f t="shared" si="69"/>
        <v>1.589560936660353E-2</v>
      </c>
    </row>
    <row r="134" spans="1:62" x14ac:dyDescent="0.3">
      <c r="A134" s="27">
        <v>44349</v>
      </c>
      <c r="B134" s="3">
        <v>246.37672424316401</v>
      </c>
      <c r="C134" s="3">
        <v>124.69092559814401</v>
      </c>
      <c r="D134" s="3">
        <v>3233.98999023437</v>
      </c>
      <c r="E134" s="3">
        <v>2370.59008789062</v>
      </c>
      <c r="F134" s="3">
        <v>605.11999511718705</v>
      </c>
      <c r="G134" s="3">
        <v>2421.28002929687</v>
      </c>
      <c r="H134" s="3">
        <v>329.14999389648398</v>
      </c>
      <c r="I134" s="3">
        <v>167.69393920898401</v>
      </c>
      <c r="J134" s="3">
        <v>290.01998901367102</v>
      </c>
      <c r="K134" s="3">
        <v>164.11958312988199</v>
      </c>
      <c r="L134" s="3">
        <v>4208.1201171875</v>
      </c>
      <c r="N134" s="3">
        <f t="shared" si="70"/>
        <v>-6.4501204355353892E-3</v>
      </c>
      <c r="O134" s="3">
        <f t="shared" si="57"/>
        <v>-1.222860224396527E-2</v>
      </c>
      <c r="P134" s="3">
        <f t="shared" si="58"/>
        <v>-1.463348974293055E-2</v>
      </c>
      <c r="Q134" s="3">
        <f t="shared" si="59"/>
        <v>-9.7538627826336821E-3</v>
      </c>
      <c r="R134" s="3">
        <f t="shared" si="60"/>
        <v>-5.4820284909155248E-2</v>
      </c>
      <c r="S134" s="3">
        <f t="shared" si="61"/>
        <v>-6.9085651371647572E-3</v>
      </c>
      <c r="T134" s="3">
        <f t="shared" si="62"/>
        <v>-9.4934559361652404E-3</v>
      </c>
      <c r="U134" s="3">
        <f t="shared" si="63"/>
        <v>1.1349014770402732E-2</v>
      </c>
      <c r="V134" s="3">
        <f t="shared" si="64"/>
        <v>6.7012132066190944E-3</v>
      </c>
      <c r="W134" s="3">
        <f t="shared" si="65"/>
        <v>6.6212469899884496E-4</v>
      </c>
      <c r="X134" s="3">
        <f t="shared" si="66"/>
        <v>-3.6353030560487554E-3</v>
      </c>
      <c r="AK134" s="3"/>
      <c r="AL134" s="8"/>
      <c r="AW134" s="3"/>
      <c r="AY134" s="5"/>
      <c r="AZ134" s="28">
        <f t="shared" si="55"/>
        <v>44344</v>
      </c>
      <c r="BA134" s="3">
        <f t="shared" si="56"/>
        <v>129</v>
      </c>
      <c r="BB134" s="3">
        <f t="shared" ref="BB134:BB197" si="71">SUMPRODUCT($AM$5:$AV$5,B132:K132)</f>
        <v>1.2504241521392758</v>
      </c>
      <c r="BC134" s="3">
        <f t="shared" ref="BC134:BC197" si="72">SUMPRODUCT($AM$13:$AV$13,B132:K132)</f>
        <v>1.2530407483730683</v>
      </c>
      <c r="BD134" s="3">
        <f t="shared" ref="BD134:BD197" si="73">SUMPRODUCT($AM$30:$AV$30,B132:K132)</f>
        <v>1.3795434356843936</v>
      </c>
      <c r="BE134" s="3">
        <f t="shared" ref="BE134:BE197" si="74">SUMPRODUCT($AM$41:$AV$41,B132:K132)</f>
        <v>0.91952606405899995</v>
      </c>
      <c r="BG134" s="3">
        <f t="shared" ref="BG134:BG197" si="75">LN(BB135)-LN(BB134)</f>
        <v>2.1917868509666871E-3</v>
      </c>
      <c r="BH134" s="3">
        <f t="shared" si="67"/>
        <v>2.3512541700548284E-3</v>
      </c>
      <c r="BI134" s="3">
        <f t="shared" si="68"/>
        <v>1.2652151357485097E-3</v>
      </c>
      <c r="BJ134" s="3">
        <f t="shared" si="69"/>
        <v>-6.1575472990946234E-4</v>
      </c>
    </row>
    <row r="135" spans="1:62" x14ac:dyDescent="0.3">
      <c r="A135" s="27">
        <v>44350</v>
      </c>
      <c r="B135" s="3">
        <v>244.79267883300699</v>
      </c>
      <c r="C135" s="3">
        <v>123.175415039062</v>
      </c>
      <c r="D135" s="3">
        <v>3187.01000976562</v>
      </c>
      <c r="E135" s="3">
        <v>2347.580078125</v>
      </c>
      <c r="F135" s="3">
        <v>572.84002685546795</v>
      </c>
      <c r="G135" s="3">
        <v>2404.61010742187</v>
      </c>
      <c r="H135" s="3">
        <v>326.04000854492102</v>
      </c>
      <c r="I135" s="3">
        <v>169.60794067382801</v>
      </c>
      <c r="J135" s="3">
        <v>291.97000122070301</v>
      </c>
      <c r="K135" s="3">
        <v>164.22828674316401</v>
      </c>
      <c r="L135" s="3">
        <v>4192.85009765625</v>
      </c>
      <c r="N135" s="3">
        <f t="shared" si="70"/>
        <v>2.0463836950852965E-2</v>
      </c>
      <c r="O135" s="3">
        <f t="shared" si="57"/>
        <v>1.884350799735568E-2</v>
      </c>
      <c r="P135" s="3">
        <f t="shared" si="58"/>
        <v>6.0094877889387277E-3</v>
      </c>
      <c r="Q135" s="3">
        <f t="shared" si="59"/>
        <v>1.9400960250799848E-2</v>
      </c>
      <c r="R135" s="3">
        <f t="shared" si="60"/>
        <v>4.4738554216817938E-2</v>
      </c>
      <c r="S135" s="3">
        <f t="shared" si="61"/>
        <v>1.941836506520378E-2</v>
      </c>
      <c r="T135" s="3">
        <f t="shared" si="62"/>
        <v>1.3132617517344514E-2</v>
      </c>
      <c r="U135" s="3">
        <f t="shared" si="63"/>
        <v>3.522998668777344E-2</v>
      </c>
      <c r="V135" s="3">
        <f t="shared" si="64"/>
        <v>1.8819414001320922E-3</v>
      </c>
      <c r="W135" s="3">
        <f t="shared" si="65"/>
        <v>1.6235275381148995E-3</v>
      </c>
      <c r="X135" s="3">
        <f t="shared" si="66"/>
        <v>8.7953033830157068E-3</v>
      </c>
      <c r="AK135" s="3"/>
      <c r="AL135" s="8"/>
      <c r="AW135" s="3"/>
      <c r="AY135" s="5"/>
      <c r="AZ135" s="28">
        <f t="shared" ref="AZ135:AZ198" si="76">A133</f>
        <v>44348</v>
      </c>
      <c r="BA135" s="3">
        <f t="shared" ref="BA135:BA198" si="77">BA134+1</f>
        <v>130</v>
      </c>
      <c r="BB135" s="3">
        <f t="shared" si="71"/>
        <v>1.2531678210243928</v>
      </c>
      <c r="BC135" s="3">
        <f t="shared" si="72"/>
        <v>1.2559904320270068</v>
      </c>
      <c r="BD135" s="3">
        <f t="shared" si="73"/>
        <v>1.3812899595508776</v>
      </c>
      <c r="BE135" s="3">
        <f t="shared" si="74"/>
        <v>0.91896003582094732</v>
      </c>
      <c r="BG135" s="3">
        <f t="shared" si="75"/>
        <v>1.6141273537653711E-4</v>
      </c>
      <c r="BH135" s="3">
        <f t="shared" si="67"/>
        <v>6.132895628971069E-4</v>
      </c>
      <c r="BI135" s="3">
        <f t="shared" si="68"/>
        <v>5.9127131676243172E-3</v>
      </c>
      <c r="BJ135" s="3">
        <f t="shared" si="69"/>
        <v>1.3237106417758063E-2</v>
      </c>
    </row>
    <row r="136" spans="1:62" x14ac:dyDescent="0.3">
      <c r="A136" s="27">
        <v>44351</v>
      </c>
      <c r="B136" s="3">
        <v>249.85368347167901</v>
      </c>
      <c r="C136" s="3">
        <v>125.51847839355401</v>
      </c>
      <c r="D136" s="3">
        <v>3206.21997070312</v>
      </c>
      <c r="E136" s="3">
        <v>2393.57006835937</v>
      </c>
      <c r="F136" s="3">
        <v>599.04998779296795</v>
      </c>
      <c r="G136" s="3">
        <v>2451.76000976562</v>
      </c>
      <c r="H136" s="3">
        <v>330.350006103515</v>
      </c>
      <c r="I136" s="3">
        <v>175.68972778320301</v>
      </c>
      <c r="J136" s="3">
        <v>292.51998901367102</v>
      </c>
      <c r="K136" s="3">
        <v>164.49513244628901</v>
      </c>
      <c r="L136" s="3">
        <v>4229.89013671875</v>
      </c>
      <c r="N136" s="3">
        <f t="shared" si="70"/>
        <v>1.1970032318403767E-2</v>
      </c>
      <c r="O136" s="3">
        <f t="shared" si="57"/>
        <v>7.9440276139486343E-5</v>
      </c>
      <c r="P136" s="3">
        <f t="shared" si="58"/>
        <v>-2.5639196156337363E-3</v>
      </c>
      <c r="Q136" s="3">
        <f t="shared" si="59"/>
        <v>3.640628247979727E-3</v>
      </c>
      <c r="R136" s="3">
        <f t="shared" si="60"/>
        <v>1.0098272341790171E-2</v>
      </c>
      <c r="S136" s="3">
        <f t="shared" si="61"/>
        <v>5.8277980818424169E-3</v>
      </c>
      <c r="T136" s="3">
        <f t="shared" si="62"/>
        <v>1.8683105438496383E-2</v>
      </c>
      <c r="U136" s="3">
        <f t="shared" si="63"/>
        <v>2.3155379646926377E-3</v>
      </c>
      <c r="V136" s="3">
        <f t="shared" si="64"/>
        <v>-1.0515914155977413E-2</v>
      </c>
      <c r="W136" s="3">
        <f t="shared" si="65"/>
        <v>-4.6972248904459946E-3</v>
      </c>
      <c r="X136" s="3">
        <f t="shared" si="66"/>
        <v>-7.9705626942150332E-4</v>
      </c>
      <c r="AK136" s="3"/>
      <c r="AL136" s="8"/>
      <c r="AW136" s="3"/>
      <c r="AY136" s="5"/>
      <c r="AZ136" s="28">
        <f t="shared" si="76"/>
        <v>44349</v>
      </c>
      <c r="BA136" s="3">
        <f t="shared" si="77"/>
        <v>131</v>
      </c>
      <c r="BB136" s="3">
        <f t="shared" si="71"/>
        <v>1.2533701145962104</v>
      </c>
      <c r="BC136" s="3">
        <f t="shared" si="72"/>
        <v>1.25676095410249</v>
      </c>
      <c r="BD136" s="3">
        <f t="shared" si="73"/>
        <v>1.3894813236118124</v>
      </c>
      <c r="BE136" s="3">
        <f t="shared" si="74"/>
        <v>0.93120527457162394</v>
      </c>
      <c r="BG136" s="3">
        <f t="shared" si="75"/>
        <v>-8.9617741315750343E-3</v>
      </c>
      <c r="BH136" s="3">
        <f t="shared" si="67"/>
        <v>-6.1289974148207027E-3</v>
      </c>
      <c r="BI136" s="3">
        <f t="shared" si="68"/>
        <v>-2.5380750794793405E-3</v>
      </c>
      <c r="BJ136" s="3">
        <f t="shared" si="69"/>
        <v>3.3802520123851904E-3</v>
      </c>
    </row>
    <row r="137" spans="1:62" x14ac:dyDescent="0.3">
      <c r="A137" s="27">
        <v>44354</v>
      </c>
      <c r="B137" s="3">
        <v>252.86241149902301</v>
      </c>
      <c r="C137" s="3">
        <v>125.528450012207</v>
      </c>
      <c r="D137" s="3">
        <v>3198.01000976562</v>
      </c>
      <c r="E137" s="3">
        <v>2402.30004882812</v>
      </c>
      <c r="F137" s="3">
        <v>605.13000488281205</v>
      </c>
      <c r="G137" s="3">
        <v>2466.09008789062</v>
      </c>
      <c r="H137" s="3">
        <v>336.579986572265</v>
      </c>
      <c r="I137" s="3">
        <v>176.09701538085901</v>
      </c>
      <c r="J137" s="3">
        <v>289.45999145507801</v>
      </c>
      <c r="K137" s="3">
        <v>163.72427368164</v>
      </c>
      <c r="L137" s="3">
        <v>4226.52001953125</v>
      </c>
      <c r="N137" s="3">
        <f t="shared" si="70"/>
        <v>-4.8974422722309896E-3</v>
      </c>
      <c r="O137" s="3">
        <f t="shared" si="57"/>
        <v>6.6497692285905075E-3</v>
      </c>
      <c r="P137" s="3">
        <f t="shared" si="58"/>
        <v>2.0458426009515307E-2</v>
      </c>
      <c r="Q137" s="3">
        <f t="shared" si="59"/>
        <v>-1.6081305222117592E-3</v>
      </c>
      <c r="R137" s="3">
        <f t="shared" si="60"/>
        <v>-2.54811506411734E-3</v>
      </c>
      <c r="S137" s="3">
        <f t="shared" si="61"/>
        <v>6.7731971739428687E-3</v>
      </c>
      <c r="T137" s="3">
        <f t="shared" si="62"/>
        <v>-8.6533944514348704E-3</v>
      </c>
      <c r="U137" s="3">
        <f t="shared" si="63"/>
        <v>-9.2370380973898492E-3</v>
      </c>
      <c r="V137" s="3">
        <f t="shared" si="64"/>
        <v>-9.3316870685988818E-4</v>
      </c>
      <c r="W137" s="3">
        <f t="shared" si="65"/>
        <v>-3.9920827802779613E-3</v>
      </c>
      <c r="X137" s="3">
        <f t="shared" si="66"/>
        <v>1.7500954944082991E-4</v>
      </c>
      <c r="AK137" s="3"/>
      <c r="AL137" s="8"/>
      <c r="AW137" s="3"/>
      <c r="AY137" s="5"/>
      <c r="AZ137" s="28">
        <f t="shared" si="76"/>
        <v>44350</v>
      </c>
      <c r="BA137" s="3">
        <f t="shared" si="77"/>
        <v>132</v>
      </c>
      <c r="BB137" s="3">
        <f t="shared" si="71"/>
        <v>1.2421878759148033</v>
      </c>
      <c r="BC137" s="3">
        <f t="shared" si="72"/>
        <v>1.2490818261799459</v>
      </c>
      <c r="BD137" s="3">
        <f t="shared" si="73"/>
        <v>1.3859591873048935</v>
      </c>
      <c r="BE137" s="3">
        <f t="shared" si="74"/>
        <v>0.93435830909834938</v>
      </c>
      <c r="BG137" s="3">
        <f t="shared" si="75"/>
        <v>1.7946600121458323E-2</v>
      </c>
      <c r="BH137" s="3">
        <f t="shared" si="67"/>
        <v>1.465422874233821E-2</v>
      </c>
      <c r="BI137" s="3">
        <f t="shared" si="68"/>
        <v>1.480863704537827E-2</v>
      </c>
      <c r="BJ137" s="3">
        <f t="shared" si="69"/>
        <v>1.3311853939327448E-2</v>
      </c>
    </row>
    <row r="138" spans="1:62" x14ac:dyDescent="0.3">
      <c r="A138" s="27">
        <v>44355</v>
      </c>
      <c r="B138" s="3">
        <v>251.62705993652301</v>
      </c>
      <c r="C138" s="3">
        <v>126.365966796875</v>
      </c>
      <c r="D138" s="3">
        <v>3264.11010742187</v>
      </c>
      <c r="E138" s="3">
        <v>2398.43994140625</v>
      </c>
      <c r="F138" s="3">
        <v>603.59002685546795</v>
      </c>
      <c r="G138" s="3">
        <v>2482.85009765625</v>
      </c>
      <c r="H138" s="3">
        <v>333.67999267578102</v>
      </c>
      <c r="I138" s="3">
        <v>174.47789001464801</v>
      </c>
      <c r="J138" s="3">
        <v>289.19000244140602</v>
      </c>
      <c r="K138" s="3">
        <v>163.07197570800699</v>
      </c>
      <c r="L138" s="3">
        <v>4227.259765625</v>
      </c>
      <c r="N138" s="3">
        <f t="shared" si="70"/>
        <v>4.0302817897694965E-3</v>
      </c>
      <c r="O138" s="3">
        <f t="shared" si="57"/>
        <v>3.0724277596618776E-3</v>
      </c>
      <c r="P138" s="3">
        <f t="shared" si="58"/>
        <v>5.2067705157092803E-3</v>
      </c>
      <c r="Q138" s="3">
        <f t="shared" si="59"/>
        <v>3.9530842766906105E-3</v>
      </c>
      <c r="R138" s="3">
        <f t="shared" si="60"/>
        <v>-8.0009032045778028E-3</v>
      </c>
      <c r="S138" s="3">
        <f t="shared" si="61"/>
        <v>3.4376290323674397E-3</v>
      </c>
      <c r="T138" s="3">
        <f t="shared" si="62"/>
        <v>-1.0332484536426101E-2</v>
      </c>
      <c r="U138" s="3">
        <f t="shared" si="63"/>
        <v>-5.4437597034961982E-3</v>
      </c>
      <c r="V138" s="3">
        <f t="shared" si="64"/>
        <v>-2.1116226436461716E-3</v>
      </c>
      <c r="W138" s="3">
        <f t="shared" si="65"/>
        <v>-1.2563473416611792E-2</v>
      </c>
      <c r="X138" s="3">
        <f t="shared" si="66"/>
        <v>-1.825532590615353E-3</v>
      </c>
      <c r="AK138" s="3"/>
      <c r="AL138" s="8"/>
      <c r="AW138" s="3"/>
      <c r="AY138" s="5"/>
      <c r="AZ138" s="28">
        <f t="shared" si="76"/>
        <v>44351</v>
      </c>
      <c r="BA138" s="3">
        <f t="shared" si="77"/>
        <v>133</v>
      </c>
      <c r="BB138" s="3">
        <f t="shared" si="71"/>
        <v>1.2646821692993151</v>
      </c>
      <c r="BC138" s="3">
        <f t="shared" si="72"/>
        <v>1.267520932442683</v>
      </c>
      <c r="BD138" s="3">
        <f t="shared" si="73"/>
        <v>1.4066360742651378</v>
      </c>
      <c r="BE138" s="3">
        <f t="shared" si="74"/>
        <v>0.94687950570476598</v>
      </c>
      <c r="BG138" s="3">
        <f t="shared" si="75"/>
        <v>3.4231992404794021E-3</v>
      </c>
      <c r="BH138" s="3">
        <f t="shared" si="67"/>
        <v>2.0804606522612235E-3</v>
      </c>
      <c r="BI138" s="3">
        <f t="shared" si="68"/>
        <v>-2.4377832249075637E-3</v>
      </c>
      <c r="BJ138" s="3">
        <f t="shared" si="69"/>
        <v>-7.3524519074376557E-3</v>
      </c>
    </row>
    <row r="139" spans="1:62" x14ac:dyDescent="0.3">
      <c r="A139" s="27">
        <v>44356</v>
      </c>
      <c r="B139" s="3">
        <v>252.64323425292901</v>
      </c>
      <c r="C139" s="3">
        <v>126.75481414794901</v>
      </c>
      <c r="D139" s="3">
        <v>3281.14990234375</v>
      </c>
      <c r="E139" s="3">
        <v>2407.93994140625</v>
      </c>
      <c r="F139" s="3">
        <v>598.780029296875</v>
      </c>
      <c r="G139" s="3">
        <v>2491.39990234375</v>
      </c>
      <c r="H139" s="3">
        <v>330.25</v>
      </c>
      <c r="I139" s="3">
        <v>173.53065490722599</v>
      </c>
      <c r="J139" s="3">
        <v>288.579986572265</v>
      </c>
      <c r="K139" s="3">
        <v>161.036041259765</v>
      </c>
      <c r="L139" s="3">
        <v>4219.5498046875</v>
      </c>
      <c r="N139" s="3">
        <f t="shared" si="70"/>
        <v>1.4290691729004656E-2</v>
      </c>
      <c r="O139" s="3">
        <f t="shared" si="57"/>
        <v>-8.0555893476290663E-3</v>
      </c>
      <c r="P139" s="3">
        <f t="shared" si="58"/>
        <v>2.0661892672604765E-2</v>
      </c>
      <c r="Q139" s="3">
        <f t="shared" si="59"/>
        <v>1.1228509217031224E-2</v>
      </c>
      <c r="R139" s="3">
        <f t="shared" si="60"/>
        <v>1.8761350347009653E-2</v>
      </c>
      <c r="S139" s="3">
        <f t="shared" si="61"/>
        <v>1.2048897136797798E-2</v>
      </c>
      <c r="T139" s="3">
        <f t="shared" si="62"/>
        <v>6.6695830027727609E-3</v>
      </c>
      <c r="U139" s="3">
        <f t="shared" si="63"/>
        <v>3.8380401764186445E-3</v>
      </c>
      <c r="V139" s="3">
        <f t="shared" si="64"/>
        <v>-1.2798943562200904E-2</v>
      </c>
      <c r="W139" s="3">
        <f t="shared" si="65"/>
        <v>-1.5711403639334875E-2</v>
      </c>
      <c r="X139" s="3">
        <f t="shared" si="66"/>
        <v>4.6414547764630498E-3</v>
      </c>
      <c r="AK139" s="3"/>
      <c r="AL139" s="8"/>
      <c r="AW139" s="3"/>
      <c r="AY139" s="5"/>
      <c r="AZ139" s="28">
        <f t="shared" si="76"/>
        <v>44354</v>
      </c>
      <c r="BA139" s="3">
        <f t="shared" si="77"/>
        <v>134</v>
      </c>
      <c r="BB139" s="3">
        <f t="shared" si="71"/>
        <v>1.2690188467613348</v>
      </c>
      <c r="BC139" s="3">
        <f t="shared" si="72"/>
        <v>1.2701607048877515</v>
      </c>
      <c r="BD139" s="3">
        <f t="shared" si="73"/>
        <v>1.4032111767147617</v>
      </c>
      <c r="BE139" s="3">
        <f t="shared" si="74"/>
        <v>0.93994315053325228</v>
      </c>
      <c r="BG139" s="3">
        <f t="shared" si="75"/>
        <v>-2.6206101796766301E-4</v>
      </c>
      <c r="BH139" s="3">
        <f t="shared" si="67"/>
        <v>2.3894014295844368E-4</v>
      </c>
      <c r="BI139" s="3">
        <f t="shared" si="68"/>
        <v>-1.2109889443182031E-3</v>
      </c>
      <c r="BJ139" s="3">
        <f t="shared" si="69"/>
        <v>-1.6985766833628249E-3</v>
      </c>
    </row>
    <row r="140" spans="1:62" x14ac:dyDescent="0.3">
      <c r="A140" s="27">
        <v>44357</v>
      </c>
      <c r="B140" s="3">
        <v>256.27960205078102</v>
      </c>
      <c r="C140" s="3">
        <v>125.737831115722</v>
      </c>
      <c r="D140" s="3">
        <v>3349.64990234375</v>
      </c>
      <c r="E140" s="3">
        <v>2435.1298828125</v>
      </c>
      <c r="F140" s="3">
        <v>610.11999511718705</v>
      </c>
      <c r="G140" s="3">
        <v>2521.60009765625</v>
      </c>
      <c r="H140" s="3">
        <v>332.45999145507801</v>
      </c>
      <c r="I140" s="3">
        <v>174.19795227050699</v>
      </c>
      <c r="J140" s="3">
        <v>284.91000366210898</v>
      </c>
      <c r="K140" s="3">
        <v>158.52571105957</v>
      </c>
      <c r="L140" s="3">
        <v>4239.18017578125</v>
      </c>
      <c r="N140" s="3">
        <f t="shared" si="70"/>
        <v>2.5236741515461958E-3</v>
      </c>
      <c r="O140" s="3">
        <f t="shared" si="57"/>
        <v>9.7846214505841189E-3</v>
      </c>
      <c r="P140" s="3">
        <f t="shared" si="58"/>
        <v>-8.4218108428402161E-4</v>
      </c>
      <c r="Q140" s="3">
        <f t="shared" si="59"/>
        <v>-2.0265566759460896E-3</v>
      </c>
      <c r="R140" s="3">
        <f t="shared" si="60"/>
        <v>-3.7701407305412715E-4</v>
      </c>
      <c r="S140" s="3">
        <f t="shared" si="61"/>
        <v>-3.0464208943383753E-3</v>
      </c>
      <c r="T140" s="3">
        <f t="shared" si="62"/>
        <v>-3.615931400957173E-3</v>
      </c>
      <c r="U140" s="3">
        <f t="shared" si="63"/>
        <v>2.2709992862957051E-2</v>
      </c>
      <c r="V140" s="3">
        <f t="shared" si="64"/>
        <v>6.6815130604700457E-3</v>
      </c>
      <c r="W140" s="3">
        <f t="shared" si="65"/>
        <v>-6.8595119052261566E-4</v>
      </c>
      <c r="X140" s="3">
        <f t="shared" si="66"/>
        <v>1.9465389328079397E-3</v>
      </c>
      <c r="AK140" s="3"/>
      <c r="AL140" s="8"/>
      <c r="AW140" s="3"/>
      <c r="AY140" s="5"/>
      <c r="AZ140" s="28">
        <f t="shared" si="76"/>
        <v>44355</v>
      </c>
      <c r="BA140" s="3">
        <f t="shared" si="77"/>
        <v>135</v>
      </c>
      <c r="BB140" s="3">
        <f t="shared" si="71"/>
        <v>1.2686863299622808</v>
      </c>
      <c r="BC140" s="3">
        <f t="shared" si="72"/>
        <v>1.2704642335293019</v>
      </c>
      <c r="BD140" s="3">
        <f t="shared" si="73"/>
        <v>1.4015129319785553</v>
      </c>
      <c r="BE140" s="3">
        <f t="shared" si="74"/>
        <v>0.93834794019115275</v>
      </c>
      <c r="BG140" s="3">
        <f t="shared" si="75"/>
        <v>-2.0996856291435329E-3</v>
      </c>
      <c r="BH140" s="3">
        <f t="shared" si="67"/>
        <v>-1.4646786515144228E-3</v>
      </c>
      <c r="BI140" s="3">
        <f t="shared" si="68"/>
        <v>-4.4293052758293538E-3</v>
      </c>
      <c r="BJ140" s="3">
        <f t="shared" si="69"/>
        <v>-6.1414650959737832E-3</v>
      </c>
    </row>
    <row r="141" spans="1:62" x14ac:dyDescent="0.3">
      <c r="A141" s="27">
        <v>44358</v>
      </c>
      <c r="B141" s="3">
        <v>256.92718505859301</v>
      </c>
      <c r="C141" s="3">
        <v>126.974166870117</v>
      </c>
      <c r="D141" s="3">
        <v>3346.830078125</v>
      </c>
      <c r="E141" s="3">
        <v>2430.19995117187</v>
      </c>
      <c r="F141" s="3">
        <v>609.89001464843705</v>
      </c>
      <c r="G141" s="3">
        <v>2513.92993164062</v>
      </c>
      <c r="H141" s="3">
        <v>331.260009765625</v>
      </c>
      <c r="I141" s="3">
        <v>178.19924926757801</v>
      </c>
      <c r="J141" s="3">
        <v>286.82000732421801</v>
      </c>
      <c r="K141" s="3">
        <v>158.41700744628901</v>
      </c>
      <c r="L141" s="3">
        <v>4247.43994140625</v>
      </c>
      <c r="N141" s="3">
        <f t="shared" si="70"/>
        <v>7.7254066229253127E-3</v>
      </c>
      <c r="O141" s="3">
        <f t="shared" si="57"/>
        <v>2.428072044322338E-2</v>
      </c>
      <c r="P141" s="3">
        <f t="shared" si="58"/>
        <v>1.1006407033196552E-2</v>
      </c>
      <c r="Q141" s="3">
        <f t="shared" si="59"/>
        <v>7.6694533111503205E-3</v>
      </c>
      <c r="R141" s="3">
        <f t="shared" si="60"/>
        <v>1.270808037909088E-2</v>
      </c>
      <c r="S141" s="3">
        <f t="shared" si="61"/>
        <v>5.2014342699120419E-3</v>
      </c>
      <c r="T141" s="3">
        <f t="shared" si="62"/>
        <v>1.6496577139777813E-2</v>
      </c>
      <c r="U141" s="3">
        <f t="shared" si="63"/>
        <v>1.0796952249079617E-2</v>
      </c>
      <c r="V141" s="3">
        <f t="shared" si="64"/>
        <v>-1.1536933467309218E-2</v>
      </c>
      <c r="W141" s="3">
        <f t="shared" si="65"/>
        <v>-1.7114873420737808E-2</v>
      </c>
      <c r="X141" s="3">
        <f t="shared" si="66"/>
        <v>1.8135563851373604E-3</v>
      </c>
      <c r="AK141" s="3"/>
      <c r="AL141" s="8"/>
      <c r="AW141" s="3"/>
      <c r="AY141" s="5"/>
      <c r="AZ141" s="28">
        <f t="shared" si="76"/>
        <v>44356</v>
      </c>
      <c r="BA141" s="3">
        <f t="shared" si="77"/>
        <v>136</v>
      </c>
      <c r="BB141" s="3">
        <f t="shared" si="71"/>
        <v>1.2660252821669176</v>
      </c>
      <c r="BC141" s="3">
        <f t="shared" si="72"/>
        <v>1.2686047737768626</v>
      </c>
      <c r="BD141" s="3">
        <f t="shared" si="73"/>
        <v>1.3953189310418539</v>
      </c>
      <c r="BE141" s="3">
        <f t="shared" si="74"/>
        <v>0.9326027690105525</v>
      </c>
      <c r="BG141" s="3">
        <f t="shared" si="75"/>
        <v>4.8566063078181176E-3</v>
      </c>
      <c r="BH141" s="3">
        <f t="shared" si="67"/>
        <v>3.0717512235581279E-3</v>
      </c>
      <c r="BI141" s="3">
        <f t="shared" si="68"/>
        <v>-3.9294994651974391E-3</v>
      </c>
      <c r="BJ141" s="3">
        <f t="shared" si="69"/>
        <v>-1.0736368213403291E-2</v>
      </c>
    </row>
    <row r="142" spans="1:62" x14ac:dyDescent="0.3">
      <c r="A142" s="27">
        <v>44361</v>
      </c>
      <c r="B142" s="3">
        <v>258.91973876953102</v>
      </c>
      <c r="C142" s="3">
        <v>130.09492492675699</v>
      </c>
      <c r="D142" s="3">
        <v>3383.8701171875</v>
      </c>
      <c r="E142" s="3">
        <v>2448.90991210937</v>
      </c>
      <c r="F142" s="3">
        <v>617.69000244140602</v>
      </c>
      <c r="G142" s="3">
        <v>2527.0400390625</v>
      </c>
      <c r="H142" s="3">
        <v>336.76998901367102</v>
      </c>
      <c r="I142" s="3">
        <v>180.13368225097599</v>
      </c>
      <c r="J142" s="3">
        <v>283.52999877929602</v>
      </c>
      <c r="K142" s="3">
        <v>155.72879028320301</v>
      </c>
      <c r="L142" s="3">
        <v>4255.14990234375</v>
      </c>
      <c r="N142" s="3">
        <f t="shared" si="70"/>
        <v>-5.9046375984710409E-3</v>
      </c>
      <c r="O142" s="3">
        <f t="shared" si="57"/>
        <v>-6.4586066385743379E-3</v>
      </c>
      <c r="P142" s="3">
        <f t="shared" si="58"/>
        <v>-2.1877770886824521E-4</v>
      </c>
      <c r="Q142" s="3">
        <f t="shared" si="59"/>
        <v>-8.4145496192151725E-3</v>
      </c>
      <c r="R142" s="3">
        <f t="shared" si="60"/>
        <v>-3.0124322619140997E-2</v>
      </c>
      <c r="S142" s="3">
        <f t="shared" si="61"/>
        <v>-2.5279356588177038E-3</v>
      </c>
      <c r="T142" s="3">
        <f t="shared" si="62"/>
        <v>-5.9356853554071165E-5</v>
      </c>
      <c r="U142" s="3">
        <f t="shared" si="63"/>
        <v>-1.2860738146327932E-2</v>
      </c>
      <c r="V142" s="3">
        <f t="shared" si="64"/>
        <v>1.4450234640488446E-3</v>
      </c>
      <c r="W142" s="3">
        <f t="shared" si="65"/>
        <v>-1.5284090202007938E-2</v>
      </c>
      <c r="X142" s="3">
        <f t="shared" si="66"/>
        <v>-2.0137199542773487E-3</v>
      </c>
      <c r="AK142" s="3"/>
      <c r="AL142" s="8"/>
      <c r="AW142" s="3"/>
      <c r="AY142" s="5"/>
      <c r="AZ142" s="28">
        <f t="shared" si="76"/>
        <v>44357</v>
      </c>
      <c r="BA142" s="3">
        <f t="shared" si="77"/>
        <v>137</v>
      </c>
      <c r="BB142" s="3">
        <f t="shared" si="71"/>
        <v>1.2721888233699328</v>
      </c>
      <c r="BC142" s="3">
        <f t="shared" si="72"/>
        <v>1.2725076032346923</v>
      </c>
      <c r="BD142" s="3">
        <f t="shared" si="73"/>
        <v>1.3898467844882902</v>
      </c>
      <c r="BE142" s="3">
        <f t="shared" si="74"/>
        <v>0.92264356081474808</v>
      </c>
      <c r="BG142" s="3">
        <f t="shared" si="75"/>
        <v>3.0361443517061271E-3</v>
      </c>
      <c r="BH142" s="3">
        <f t="shared" si="67"/>
        <v>2.5904386101345822E-3</v>
      </c>
      <c r="BI142" s="3">
        <f t="shared" si="68"/>
        <v>8.2664322425381465E-3</v>
      </c>
      <c r="BJ142" s="3">
        <f t="shared" si="69"/>
        <v>1.4352467683880793E-2</v>
      </c>
    </row>
    <row r="143" spans="1:62" x14ac:dyDescent="0.3">
      <c r="A143" s="27">
        <v>44362</v>
      </c>
      <c r="B143" s="3">
        <v>257.395416259765</v>
      </c>
      <c r="C143" s="3">
        <v>129.257400512695</v>
      </c>
      <c r="D143" s="3">
        <v>3383.1298828125</v>
      </c>
      <c r="E143" s="3">
        <v>2428.38989257812</v>
      </c>
      <c r="F143" s="3">
        <v>599.35998535156205</v>
      </c>
      <c r="G143" s="3">
        <v>2520.65991210937</v>
      </c>
      <c r="H143" s="3">
        <v>336.75</v>
      </c>
      <c r="I143" s="3">
        <v>177.83186340332</v>
      </c>
      <c r="J143" s="3">
        <v>283.94000244140602</v>
      </c>
      <c r="K143" s="3">
        <v>153.36671447753901</v>
      </c>
      <c r="L143" s="3">
        <v>4246.58984375</v>
      </c>
      <c r="N143" s="3">
        <f t="shared" si="70"/>
        <v>-3.8002800912702028E-3</v>
      </c>
      <c r="O143" s="3">
        <f t="shared" si="57"/>
        <v>3.9262861558206907E-3</v>
      </c>
      <c r="P143" s="3">
        <f t="shared" si="58"/>
        <v>9.4494149327122301E-3</v>
      </c>
      <c r="Q143" s="3">
        <f t="shared" si="59"/>
        <v>-5.3428571570250938E-3</v>
      </c>
      <c r="R143" s="3">
        <f t="shared" si="60"/>
        <v>9.1511560205299602E-3</v>
      </c>
      <c r="S143" s="3">
        <f t="shared" si="61"/>
        <v>-2.6734986110943382E-3</v>
      </c>
      <c r="T143" s="3">
        <f t="shared" si="62"/>
        <v>-1.6980817830652306E-2</v>
      </c>
      <c r="U143" s="3">
        <f t="shared" si="63"/>
        <v>1.2218827146899258E-3</v>
      </c>
      <c r="V143" s="3">
        <f t="shared" si="64"/>
        <v>-2.9274938735479594E-3</v>
      </c>
      <c r="W143" s="3">
        <f t="shared" si="65"/>
        <v>6.9995936335676134E-3</v>
      </c>
      <c r="X143" s="3">
        <f t="shared" si="66"/>
        <v>-5.4047037470255077E-3</v>
      </c>
      <c r="AK143" s="3"/>
      <c r="AL143" s="8"/>
      <c r="AW143" s="3"/>
      <c r="AY143" s="5"/>
      <c r="AZ143" s="28">
        <f t="shared" si="76"/>
        <v>44358</v>
      </c>
      <c r="BA143" s="3">
        <f t="shared" si="77"/>
        <v>138</v>
      </c>
      <c r="BB143" s="3">
        <f t="shared" si="71"/>
        <v>1.2760572418471205</v>
      </c>
      <c r="BC143" s="3">
        <f t="shared" si="72"/>
        <v>1.2758082292506336</v>
      </c>
      <c r="BD143" s="3">
        <f t="shared" si="73"/>
        <v>1.4013834767065099</v>
      </c>
      <c r="BE143" s="3">
        <f t="shared" si="74"/>
        <v>0.93598125818471867</v>
      </c>
      <c r="BG143" s="3">
        <f t="shared" si="75"/>
        <v>6.1854340130698404E-3</v>
      </c>
      <c r="BH143" s="3">
        <f t="shared" si="67"/>
        <v>4.0942340978143699E-3</v>
      </c>
      <c r="BI143" s="3">
        <f t="shared" si="68"/>
        <v>8.5065990336458119E-4</v>
      </c>
      <c r="BJ143" s="3">
        <f t="shared" si="69"/>
        <v>-2.0254736064204415E-3</v>
      </c>
    </row>
    <row r="144" spans="1:62" x14ac:dyDescent="0.3">
      <c r="A144" s="27">
        <v>44363</v>
      </c>
      <c r="B144" s="3">
        <v>256.41909790039</v>
      </c>
      <c r="C144" s="3">
        <v>129.76589965820301</v>
      </c>
      <c r="D144" s="3">
        <v>3415.25</v>
      </c>
      <c r="E144" s="3">
        <v>2415.44995117187</v>
      </c>
      <c r="F144" s="3">
        <v>604.86999511718705</v>
      </c>
      <c r="G144" s="3">
        <v>2513.92993164062</v>
      </c>
      <c r="H144" s="3">
        <v>331.079986572265</v>
      </c>
      <c r="I144" s="3">
        <v>178.04928588867099</v>
      </c>
      <c r="J144" s="3">
        <v>283.10998535156199</v>
      </c>
      <c r="K144" s="3">
        <v>154.44398498535099</v>
      </c>
      <c r="L144" s="3">
        <v>4223.7001953125</v>
      </c>
      <c r="N144" s="3">
        <f t="shared" si="70"/>
        <v>1.358363092329995E-2</v>
      </c>
      <c r="O144" s="3">
        <f t="shared" si="57"/>
        <v>1.2522133041982464E-2</v>
      </c>
      <c r="P144" s="3">
        <f t="shared" si="58"/>
        <v>2.1433247872861827E-2</v>
      </c>
      <c r="Q144" s="3">
        <f t="shared" si="59"/>
        <v>8.0078302128034906E-3</v>
      </c>
      <c r="R144" s="3">
        <f t="shared" si="60"/>
        <v>1.920692502127519E-2</v>
      </c>
      <c r="S144" s="3">
        <f t="shared" si="61"/>
        <v>5.3517501557438507E-3</v>
      </c>
      <c r="T144" s="3">
        <f t="shared" si="62"/>
        <v>1.6267897885731131E-2</v>
      </c>
      <c r="U144" s="3">
        <f t="shared" si="63"/>
        <v>4.6460670654571601E-2</v>
      </c>
      <c r="V144" s="3">
        <f t="shared" si="64"/>
        <v>-1.5735401231228074E-2</v>
      </c>
      <c r="W144" s="3">
        <f t="shared" si="65"/>
        <v>-2.928498986868977E-2</v>
      </c>
      <c r="X144" s="3">
        <f t="shared" si="66"/>
        <v>-4.3581054367258787E-4</v>
      </c>
      <c r="AK144" s="3"/>
      <c r="AL144" s="8"/>
      <c r="AW144" s="3"/>
      <c r="AY144" s="5"/>
      <c r="AZ144" s="28">
        <f t="shared" si="76"/>
        <v>44361</v>
      </c>
      <c r="BA144" s="3">
        <f t="shared" si="77"/>
        <v>139</v>
      </c>
      <c r="BB144" s="3">
        <f t="shared" si="71"/>
        <v>1.2839746708376341</v>
      </c>
      <c r="BC144" s="3">
        <f t="shared" si="72"/>
        <v>1.2810423944423217</v>
      </c>
      <c r="BD144" s="3">
        <f t="shared" si="73"/>
        <v>1.4025760846193311</v>
      </c>
      <c r="BE144" s="3">
        <f t="shared" si="74"/>
        <v>0.93408737150638088</v>
      </c>
      <c r="BG144" s="3">
        <f t="shared" si="75"/>
        <v>-8.1842596453977068E-3</v>
      </c>
      <c r="BH144" s="3">
        <f t="shared" si="67"/>
        <v>-6.299868653989682E-3</v>
      </c>
      <c r="BI144" s="3">
        <f t="shared" si="68"/>
        <v>-9.4783936539422631E-3</v>
      </c>
      <c r="BJ144" s="3">
        <f t="shared" si="69"/>
        <v>-1.0624500337229101E-2</v>
      </c>
    </row>
    <row r="145" spans="1:62" x14ac:dyDescent="0.3">
      <c r="A145" s="27">
        <v>44364</v>
      </c>
      <c r="B145" s="3">
        <v>259.92596435546801</v>
      </c>
      <c r="C145" s="3">
        <v>131.40106201171801</v>
      </c>
      <c r="D145" s="3">
        <v>3489.23999023437</v>
      </c>
      <c r="E145" s="3">
        <v>2434.8701171875</v>
      </c>
      <c r="F145" s="3">
        <v>616.59997558593705</v>
      </c>
      <c r="G145" s="3">
        <v>2527.419921875</v>
      </c>
      <c r="H145" s="3">
        <v>336.510009765625</v>
      </c>
      <c r="I145" s="3">
        <v>186.51675415039</v>
      </c>
      <c r="J145" s="3">
        <v>278.69000244140602</v>
      </c>
      <c r="K145" s="3">
        <v>149.98667907714801</v>
      </c>
      <c r="L145" s="3">
        <v>4221.85986328125</v>
      </c>
      <c r="N145" s="3">
        <f t="shared" si="70"/>
        <v>-5.650378456657279E-3</v>
      </c>
      <c r="O145" s="3">
        <f t="shared" si="57"/>
        <v>-1.0143004583967219E-2</v>
      </c>
      <c r="P145" s="3">
        <f t="shared" si="58"/>
        <v>-6.7088332929721162E-4</v>
      </c>
      <c r="Q145" s="3">
        <f t="shared" si="59"/>
        <v>-1.3500117538578493E-2</v>
      </c>
      <c r="R145" s="3">
        <f t="shared" si="60"/>
        <v>1.0823507550565381E-2</v>
      </c>
      <c r="S145" s="3">
        <f t="shared" si="61"/>
        <v>-6.37849262421053E-3</v>
      </c>
      <c r="T145" s="3">
        <f t="shared" si="62"/>
        <v>-2.0566063933597611E-2</v>
      </c>
      <c r="U145" s="3">
        <f t="shared" si="63"/>
        <v>-9.9201956291228299E-4</v>
      </c>
      <c r="V145" s="3">
        <f t="shared" si="64"/>
        <v>-1.6825949412979213E-2</v>
      </c>
      <c r="W145" s="3">
        <f t="shared" si="65"/>
        <v>-2.5628779813830604E-2</v>
      </c>
      <c r="X145" s="3">
        <f t="shared" si="66"/>
        <v>-1.3211355687284154E-2</v>
      </c>
      <c r="AK145" s="3"/>
      <c r="AL145" s="8"/>
      <c r="AW145" s="3"/>
      <c r="AY145" s="5"/>
      <c r="AZ145" s="28">
        <f t="shared" si="76"/>
        <v>44362</v>
      </c>
      <c r="BA145" s="3">
        <f t="shared" si="77"/>
        <v>140</v>
      </c>
      <c r="BB145" s="3">
        <f t="shared" si="71"/>
        <v>1.2735091733444759</v>
      </c>
      <c r="BC145" s="3">
        <f t="shared" si="72"/>
        <v>1.2729973635439438</v>
      </c>
      <c r="BD145" s="3">
        <f t="shared" si="73"/>
        <v>1.3893447214526382</v>
      </c>
      <c r="BE145" s="3">
        <f t="shared" si="74"/>
        <v>0.92421569359487477</v>
      </c>
      <c r="BG145" s="3">
        <f t="shared" si="75"/>
        <v>-2.6660457661012438E-4</v>
      </c>
      <c r="BH145" s="3">
        <f t="shared" si="67"/>
        <v>-7.6449328649202952E-4</v>
      </c>
      <c r="BI145" s="3">
        <f t="shared" si="68"/>
        <v>3.6444365882002394E-3</v>
      </c>
      <c r="BJ145" s="3">
        <f t="shared" si="69"/>
        <v>7.6948700661486902E-3</v>
      </c>
    </row>
    <row r="146" spans="1:62" x14ac:dyDescent="0.3">
      <c r="A146" s="27">
        <v>44365</v>
      </c>
      <c r="B146" s="3">
        <v>258.46142578125</v>
      </c>
      <c r="C146" s="3">
        <v>130.07499694824199</v>
      </c>
      <c r="D146" s="3">
        <v>3486.89990234375</v>
      </c>
      <c r="E146" s="3">
        <v>2402.21997070312</v>
      </c>
      <c r="F146" s="3">
        <v>623.30999755859295</v>
      </c>
      <c r="G146" s="3">
        <v>2511.35009765625</v>
      </c>
      <c r="H146" s="3">
        <v>329.66000366210898</v>
      </c>
      <c r="I146" s="3">
        <v>186.33181762695301</v>
      </c>
      <c r="J146" s="3">
        <v>274.04000854492102</v>
      </c>
      <c r="K146" s="3">
        <v>146.19154357910099</v>
      </c>
      <c r="L146" s="3">
        <v>4166.4501953125</v>
      </c>
      <c r="N146" s="3">
        <f t="shared" si="70"/>
        <v>1.225926716199055E-2</v>
      </c>
      <c r="O146" s="3">
        <f t="shared" si="57"/>
        <v>1.4005361305687636E-2</v>
      </c>
      <c r="P146" s="3">
        <f t="shared" si="58"/>
        <v>-9.4916737569903376E-3</v>
      </c>
      <c r="Q146" s="3">
        <f t="shared" si="59"/>
        <v>1.4066674230351239E-2</v>
      </c>
      <c r="R146" s="3">
        <f t="shared" si="60"/>
        <v>-3.9866634368763698E-3</v>
      </c>
      <c r="S146" s="3">
        <f t="shared" si="61"/>
        <v>7.0430507933059161E-3</v>
      </c>
      <c r="T146" s="3">
        <f t="shared" si="62"/>
        <v>7.9462759218360546E-3</v>
      </c>
      <c r="U146" s="3">
        <f t="shared" si="63"/>
        <v>-1.1412097622280015E-2</v>
      </c>
      <c r="V146" s="3">
        <f t="shared" si="64"/>
        <v>1.1104361579342026E-2</v>
      </c>
      <c r="W146" s="3">
        <f t="shared" si="65"/>
        <v>1.6826250129424736E-2</v>
      </c>
      <c r="X146" s="3">
        <f t="shared" si="66"/>
        <v>1.3905163512319518E-2</v>
      </c>
      <c r="AK146" s="3"/>
      <c r="AL146" s="8"/>
      <c r="AW146" s="3"/>
      <c r="AY146" s="5"/>
      <c r="AZ146" s="28">
        <f t="shared" si="76"/>
        <v>44363</v>
      </c>
      <c r="BA146" s="3">
        <f t="shared" si="77"/>
        <v>141</v>
      </c>
      <c r="BB146" s="3">
        <f t="shared" si="71"/>
        <v>1.2731696952257281</v>
      </c>
      <c r="BC146" s="3">
        <f t="shared" si="72"/>
        <v>1.272024537512658</v>
      </c>
      <c r="BD146" s="3">
        <f t="shared" si="73"/>
        <v>1.3944173379892699</v>
      </c>
      <c r="BE146" s="3">
        <f t="shared" si="74"/>
        <v>0.93135484546686109</v>
      </c>
      <c r="BG146" s="3">
        <f t="shared" si="75"/>
        <v>9.6255787635967094E-3</v>
      </c>
      <c r="BH146" s="3">
        <f t="shared" si="67"/>
        <v>5.4489041268676042E-3</v>
      </c>
      <c r="BI146" s="3">
        <f t="shared" si="68"/>
        <v>5.7586399565063839E-3</v>
      </c>
      <c r="BJ146" s="3">
        <f t="shared" si="69"/>
        <v>6.7741121593522247E-3</v>
      </c>
    </row>
    <row r="147" spans="1:62" x14ac:dyDescent="0.3">
      <c r="A147" s="27">
        <v>44368</v>
      </c>
      <c r="B147" s="3">
        <v>261.64947509765602</v>
      </c>
      <c r="C147" s="3">
        <v>131.90956115722599</v>
      </c>
      <c r="D147" s="3">
        <v>3453.9599609375</v>
      </c>
      <c r="E147" s="3">
        <v>2436.25</v>
      </c>
      <c r="F147" s="3">
        <v>620.83001708984295</v>
      </c>
      <c r="G147" s="3">
        <v>2529.10009765625</v>
      </c>
      <c r="H147" s="3">
        <v>332.29000854492102</v>
      </c>
      <c r="I147" s="3">
        <v>184.21746826171801</v>
      </c>
      <c r="J147" s="3">
        <v>277.100006103515</v>
      </c>
      <c r="K147" s="3">
        <v>148.67221069335901</v>
      </c>
      <c r="L147" s="3">
        <v>4224.7900390625</v>
      </c>
      <c r="N147" s="3">
        <f t="shared" si="70"/>
        <v>1.0906364414408287E-2</v>
      </c>
      <c r="O147" s="3">
        <f t="shared" ref="O147:O210" si="78">LN(C148)-LN(C147)</f>
        <v>1.2618400500511662E-2</v>
      </c>
      <c r="P147" s="3">
        <f t="shared" ref="P147:P210" si="79">LN(D148)-LN(D147)</f>
        <v>1.4794643270645835E-2</v>
      </c>
      <c r="Q147" s="3">
        <f t="shared" ref="Q147:Q210" si="80">LN(E148)-LN(E147)</f>
        <v>4.2434649939364633E-3</v>
      </c>
      <c r="R147" s="3">
        <f t="shared" ref="R147:R210" si="81">LN(F148)-LN(F147)</f>
        <v>4.6282320107868813E-3</v>
      </c>
      <c r="S147" s="3">
        <f t="shared" ref="S147:S210" si="82">LN(G148)-LN(G147)</f>
        <v>4.2965933302552273E-3</v>
      </c>
      <c r="T147" s="3">
        <f t="shared" ref="T147:T210" si="83">LN(H148)-LN(H147)</f>
        <v>2.008048810580032E-2</v>
      </c>
      <c r="U147" s="3">
        <f t="shared" ref="U147:U210" si="84">LN(I148)-LN(I147)</f>
        <v>2.46299909191805E-2</v>
      </c>
      <c r="V147" s="3">
        <f t="shared" ref="V147:V210" si="85">LN(J148)-LN(J147)</f>
        <v>-6.4976959592932815E-4</v>
      </c>
      <c r="W147" s="3">
        <f t="shared" ref="W147:W210" si="86">LN(K148)-LN(K147)</f>
        <v>-1.4633961572032561E-3</v>
      </c>
      <c r="X147" s="3">
        <f t="shared" ref="X147:X210" si="87">LN(L148)-LN(L147)</f>
        <v>5.1114063789903241E-3</v>
      </c>
      <c r="AK147" s="3"/>
      <c r="AL147" s="8"/>
      <c r="AW147" s="3"/>
      <c r="AY147" s="5"/>
      <c r="AZ147" s="28">
        <f t="shared" si="76"/>
        <v>44364</v>
      </c>
      <c r="BA147" s="3">
        <f t="shared" si="77"/>
        <v>142</v>
      </c>
      <c r="BB147" s="3">
        <f t="shared" si="71"/>
        <v>1.2854838608146537</v>
      </c>
      <c r="BC147" s="3">
        <f t="shared" si="72"/>
        <v>1.2789745951675919</v>
      </c>
      <c r="BD147" s="3">
        <f t="shared" si="73"/>
        <v>1.4024704506212282</v>
      </c>
      <c r="BE147" s="3">
        <f t="shared" si="74"/>
        <v>0.93768536526758495</v>
      </c>
      <c r="BG147" s="3">
        <f t="shared" si="75"/>
        <v>-8.9644561180318161E-3</v>
      </c>
      <c r="BH147" s="3">
        <f t="shared" si="67"/>
        <v>-1.0820689087006258E-2</v>
      </c>
      <c r="BI147" s="3">
        <f t="shared" si="68"/>
        <v>-1.0051541973699674E-2</v>
      </c>
      <c r="BJ147" s="3">
        <f t="shared" si="69"/>
        <v>-9.5679421689361666E-3</v>
      </c>
    </row>
    <row r="148" spans="1:62" x14ac:dyDescent="0.3">
      <c r="A148" s="27">
        <v>44369</v>
      </c>
      <c r="B148" s="3">
        <v>264.51873779296801</v>
      </c>
      <c r="C148" s="3">
        <v>133.58459472656199</v>
      </c>
      <c r="D148" s="3">
        <v>3505.43994140625</v>
      </c>
      <c r="E148" s="3">
        <v>2446.61010742187</v>
      </c>
      <c r="F148" s="3">
        <v>623.71002197265602</v>
      </c>
      <c r="G148" s="3">
        <v>2539.98999023437</v>
      </c>
      <c r="H148" s="3">
        <v>339.02999877929602</v>
      </c>
      <c r="I148" s="3">
        <v>188.81108093261699</v>
      </c>
      <c r="J148" s="3">
        <v>276.92001342773398</v>
      </c>
      <c r="K148" s="3">
        <v>148.45480346679599</v>
      </c>
      <c r="L148" s="3">
        <v>4246.43994140625</v>
      </c>
      <c r="N148" s="3">
        <f t="shared" si="70"/>
        <v>-9.0433425784208765E-4</v>
      </c>
      <c r="O148" s="3">
        <f t="shared" si="78"/>
        <v>-2.0919451191234728E-3</v>
      </c>
      <c r="P148" s="3">
        <f t="shared" si="79"/>
        <v>-4.6220944107133732E-4</v>
      </c>
      <c r="Q148" s="3">
        <f t="shared" si="80"/>
        <v>-1.6649393770373777E-3</v>
      </c>
      <c r="R148" s="3">
        <f t="shared" si="81"/>
        <v>5.1343773279319826E-2</v>
      </c>
      <c r="S148" s="3">
        <f t="shared" si="82"/>
        <v>-4.2452393021381596E-3</v>
      </c>
      <c r="T148" s="3">
        <f t="shared" si="83"/>
        <v>4.5908016527071993E-3</v>
      </c>
      <c r="U148" s="3">
        <f t="shared" si="84"/>
        <v>8.9869484627778107E-3</v>
      </c>
      <c r="V148" s="3">
        <f t="shared" si="85"/>
        <v>-8.1947218640214814E-3</v>
      </c>
      <c r="W148" s="3">
        <f t="shared" si="86"/>
        <v>6.0398166760826655E-3</v>
      </c>
      <c r="X148" s="3">
        <f t="shared" si="87"/>
        <v>-1.0838705186486663E-3</v>
      </c>
      <c r="AK148" s="3"/>
      <c r="AL148" s="8"/>
      <c r="AW148" s="3"/>
      <c r="AY148" s="5"/>
      <c r="AZ148" s="28">
        <f t="shared" si="76"/>
        <v>44365</v>
      </c>
      <c r="BA148" s="3">
        <f t="shared" si="77"/>
        <v>143</v>
      </c>
      <c r="BB148" s="3">
        <f t="shared" si="71"/>
        <v>1.274011694844728</v>
      </c>
      <c r="BC148" s="3">
        <f t="shared" si="72"/>
        <v>1.265209815231618</v>
      </c>
      <c r="BD148" s="3">
        <f t="shared" si="73"/>
        <v>1.3884440714835673</v>
      </c>
      <c r="BE148" s="3">
        <f t="shared" si="74"/>
        <v>0.92875642980600759</v>
      </c>
      <c r="BG148" s="3">
        <f t="shared" si="75"/>
        <v>5.8195096559732762E-3</v>
      </c>
      <c r="BH148" s="3">
        <f t="shared" si="67"/>
        <v>7.6771556930310958E-3</v>
      </c>
      <c r="BI148" s="3">
        <f t="shared" si="68"/>
        <v>4.5233238514729157E-3</v>
      </c>
      <c r="BJ148" s="3">
        <f t="shared" si="69"/>
        <v>1.4243793928615661E-3</v>
      </c>
    </row>
    <row r="149" spans="1:62" x14ac:dyDescent="0.3">
      <c r="A149" s="27">
        <v>44370</v>
      </c>
      <c r="B149" s="3">
        <v>264.27963256835898</v>
      </c>
      <c r="C149" s="3">
        <v>133.30543518066401</v>
      </c>
      <c r="D149" s="3">
        <v>3503.82006835937</v>
      </c>
      <c r="E149" s="3">
        <v>2442.5400390625</v>
      </c>
      <c r="F149" s="3">
        <v>656.57000732421795</v>
      </c>
      <c r="G149" s="3">
        <v>2529.22998046875</v>
      </c>
      <c r="H149" s="3">
        <v>340.58999633789</v>
      </c>
      <c r="I149" s="3">
        <v>190.51556396484301</v>
      </c>
      <c r="J149" s="3">
        <v>274.66000366210898</v>
      </c>
      <c r="K149" s="3">
        <v>149.35415649414</v>
      </c>
      <c r="L149" s="3">
        <v>4241.83984375</v>
      </c>
      <c r="N149" s="3">
        <f t="shared" si="70"/>
        <v>5.338778179423187E-3</v>
      </c>
      <c r="O149" s="3">
        <f t="shared" si="78"/>
        <v>-2.1714651764987991E-3</v>
      </c>
      <c r="P149" s="3">
        <f t="shared" si="79"/>
        <v>-1.5746269935917212E-2</v>
      </c>
      <c r="Q149" s="3">
        <f t="shared" si="80"/>
        <v>3.0495271001029778E-3</v>
      </c>
      <c r="R149" s="3">
        <f t="shared" si="81"/>
        <v>3.4798742759582169E-2</v>
      </c>
      <c r="S149" s="3">
        <f t="shared" si="82"/>
        <v>6.4671487994267807E-3</v>
      </c>
      <c r="T149" s="3">
        <f t="shared" si="83"/>
        <v>7.5756724229680827E-3</v>
      </c>
      <c r="U149" s="3">
        <f t="shared" si="84"/>
        <v>7.7490823525208086E-3</v>
      </c>
      <c r="V149" s="3">
        <f t="shared" si="85"/>
        <v>3.0173124099581727E-3</v>
      </c>
      <c r="W149" s="3">
        <f t="shared" si="86"/>
        <v>9.1559859143233169E-3</v>
      </c>
      <c r="X149" s="3">
        <f t="shared" si="87"/>
        <v>5.7944295459169126E-3</v>
      </c>
      <c r="AK149" s="3"/>
      <c r="AL149" s="8"/>
      <c r="AW149" s="3"/>
      <c r="AY149" s="5"/>
      <c r="AZ149" s="28">
        <f t="shared" si="76"/>
        <v>44368</v>
      </c>
      <c r="BA149" s="3">
        <f t="shared" si="77"/>
        <v>144</v>
      </c>
      <c r="BB149" s="3">
        <f t="shared" si="71"/>
        <v>1.2814474333955368</v>
      </c>
      <c r="BC149" s="3">
        <f t="shared" si="72"/>
        <v>1.2749604084881909</v>
      </c>
      <c r="BD149" s="3">
        <f t="shared" si="73"/>
        <v>1.3947386792106358</v>
      </c>
      <c r="BE149" s="3">
        <f t="shared" si="74"/>
        <v>0.93008027392993153</v>
      </c>
      <c r="BG149" s="3">
        <f t="shared" si="75"/>
        <v>9.3375704044681429E-3</v>
      </c>
      <c r="BH149" s="3">
        <f t="shared" ref="BH149:BH212" si="88">LN(BC150)-LN(BC149)</f>
        <v>8.0269316552787906E-3</v>
      </c>
      <c r="BI149" s="3">
        <f t="shared" ref="BI149:BI212" si="89">LN(BD150)-LN(BD149)</f>
        <v>9.1935496280679541E-3</v>
      </c>
      <c r="BJ149" s="3">
        <f t="shared" ref="BJ149:BJ212" si="90">LN(BE150)-LN(BE149)</f>
        <v>1.1050881928607349E-2</v>
      </c>
    </row>
    <row r="150" spans="1:62" x14ac:dyDescent="0.3">
      <c r="A150" s="27">
        <v>44371</v>
      </c>
      <c r="B150" s="3">
        <v>265.6943359375</v>
      </c>
      <c r="C150" s="3">
        <v>133.01628112792901</v>
      </c>
      <c r="D150" s="3">
        <v>3449.080078125</v>
      </c>
      <c r="E150" s="3">
        <v>2450</v>
      </c>
      <c r="F150" s="3">
        <v>679.82000732421795</v>
      </c>
      <c r="G150" s="3">
        <v>2545.63989257812</v>
      </c>
      <c r="H150" s="3">
        <v>343.17999267578102</v>
      </c>
      <c r="I150" s="3">
        <v>191.99761962890599</v>
      </c>
      <c r="J150" s="3">
        <v>275.489990234375</v>
      </c>
      <c r="K150" s="3">
        <v>150.72792053222599</v>
      </c>
      <c r="L150" s="3">
        <v>4266.490234375</v>
      </c>
      <c r="N150" s="3">
        <f t="shared" si="70"/>
        <v>-6.2816105088243646E-3</v>
      </c>
      <c r="O150" s="3">
        <f t="shared" si="78"/>
        <v>-2.2511497807577996E-3</v>
      </c>
      <c r="P150" s="3">
        <f t="shared" si="79"/>
        <v>-1.3902811733755627E-2</v>
      </c>
      <c r="Q150" s="3">
        <f t="shared" si="80"/>
        <v>6.9353462340160377E-5</v>
      </c>
      <c r="R150" s="3">
        <f t="shared" si="81"/>
        <v>-1.176320586039914E-2</v>
      </c>
      <c r="S150" s="3">
        <f t="shared" si="82"/>
        <v>-2.2573779395322902E-3</v>
      </c>
      <c r="T150" s="3">
        <f t="shared" si="83"/>
        <v>-5.2881507818192119E-3</v>
      </c>
      <c r="U150" s="3">
        <f t="shared" si="84"/>
        <v>-9.1274555792635326E-3</v>
      </c>
      <c r="V150" s="3">
        <f t="shared" si="85"/>
        <v>1.043580949401246E-2</v>
      </c>
      <c r="W150" s="3">
        <f t="shared" si="86"/>
        <v>1.0047044731012811E-2</v>
      </c>
      <c r="X150" s="3">
        <f t="shared" si="87"/>
        <v>3.3250631646861706E-3</v>
      </c>
      <c r="AK150" s="3"/>
      <c r="AL150" s="8"/>
      <c r="AW150" s="3"/>
      <c r="AY150" s="5"/>
      <c r="AZ150" s="28">
        <f t="shared" si="76"/>
        <v>44369</v>
      </c>
      <c r="BA150" s="3">
        <f t="shared" si="77"/>
        <v>145</v>
      </c>
      <c r="BB150" s="3">
        <f t="shared" si="71"/>
        <v>1.293469078154287</v>
      </c>
      <c r="BC150" s="3">
        <f t="shared" si="72"/>
        <v>1.2852356125601054</v>
      </c>
      <c r="BD150" s="3">
        <f t="shared" si="73"/>
        <v>1.4076204021239993</v>
      </c>
      <c r="BE150" s="3">
        <f t="shared" si="74"/>
        <v>0.94041548262729413</v>
      </c>
      <c r="BG150" s="3">
        <f t="shared" si="75"/>
        <v>5.5084272002418611E-3</v>
      </c>
      <c r="BH150" s="3">
        <f t="shared" si="88"/>
        <v>1.7282610050099456E-3</v>
      </c>
      <c r="BI150" s="3">
        <f t="shared" si="89"/>
        <v>5.5262813622891649E-3</v>
      </c>
      <c r="BJ150" s="3">
        <f t="shared" si="90"/>
        <v>5.7990623363979379E-3</v>
      </c>
    </row>
    <row r="151" spans="1:62" x14ac:dyDescent="0.3">
      <c r="A151" s="27">
        <v>44372</v>
      </c>
      <c r="B151" s="3">
        <v>264.03057861328102</v>
      </c>
      <c r="C151" s="3">
        <v>132.71717834472599</v>
      </c>
      <c r="D151" s="3">
        <v>3401.4599609375</v>
      </c>
      <c r="E151" s="3">
        <v>2450.169921875</v>
      </c>
      <c r="F151" s="3">
        <v>671.86999511718705</v>
      </c>
      <c r="G151" s="3">
        <v>2539.89990234375</v>
      </c>
      <c r="H151" s="3">
        <v>341.36999511718699</v>
      </c>
      <c r="I151" s="3">
        <v>190.25314331054599</v>
      </c>
      <c r="J151" s="3">
        <v>278.38000488281199</v>
      </c>
      <c r="K151" s="3">
        <v>152.24992370605401</v>
      </c>
      <c r="L151" s="3">
        <v>4280.7001953125</v>
      </c>
      <c r="N151" s="3">
        <f t="shared" si="70"/>
        <v>1.3864655190330311E-2</v>
      </c>
      <c r="O151" s="3">
        <f t="shared" si="78"/>
        <v>1.2467836480055894E-2</v>
      </c>
      <c r="P151" s="3">
        <f t="shared" si="79"/>
        <v>1.2396875526338391E-2</v>
      </c>
      <c r="Q151" s="3">
        <f t="shared" si="80"/>
        <v>2.2446896073446965E-4</v>
      </c>
      <c r="R151" s="3">
        <f t="shared" si="81"/>
        <v>2.476989765117299E-2</v>
      </c>
      <c r="S151" s="3">
        <f t="shared" si="82"/>
        <v>-1.3829038399366667E-3</v>
      </c>
      <c r="T151" s="3">
        <f t="shared" si="83"/>
        <v>4.0952105708436548E-2</v>
      </c>
      <c r="U151" s="3">
        <f t="shared" si="84"/>
        <v>4.8912866557354384E-2</v>
      </c>
      <c r="V151" s="3">
        <f t="shared" si="85"/>
        <v>-6.3785854292675026E-3</v>
      </c>
      <c r="W151" s="3">
        <f t="shared" si="86"/>
        <v>1.8158759364306221E-3</v>
      </c>
      <c r="X151" s="3">
        <f t="shared" si="87"/>
        <v>2.3122888604731884E-3</v>
      </c>
      <c r="AK151" s="3"/>
      <c r="AL151" s="8"/>
      <c r="AW151" s="3"/>
      <c r="AY151" s="5"/>
      <c r="AZ151" s="28">
        <f t="shared" si="76"/>
        <v>44370</v>
      </c>
      <c r="BA151" s="3">
        <f t="shared" si="77"/>
        <v>146</v>
      </c>
      <c r="BB151" s="3">
        <f t="shared" si="71"/>
        <v>1.300613718206191</v>
      </c>
      <c r="BC151" s="3">
        <f t="shared" si="72"/>
        <v>1.2874587556839716</v>
      </c>
      <c r="BD151" s="3">
        <f t="shared" si="73"/>
        <v>1.4154208423792642</v>
      </c>
      <c r="BE151" s="3">
        <f t="shared" si="74"/>
        <v>0.94588485391818677</v>
      </c>
      <c r="BG151" s="3">
        <f t="shared" si="75"/>
        <v>6.4935030127700188E-3</v>
      </c>
      <c r="BH151" s="3">
        <f t="shared" si="88"/>
        <v>4.5075969996634657E-3</v>
      </c>
      <c r="BI151" s="3">
        <f t="shared" si="89"/>
        <v>5.646422350185254E-3</v>
      </c>
      <c r="BJ151" s="3">
        <f t="shared" si="90"/>
        <v>3.8470490663432347E-3</v>
      </c>
    </row>
    <row r="152" spans="1:62" x14ac:dyDescent="0.3">
      <c r="A152" s="27">
        <v>44375</v>
      </c>
      <c r="B152" s="3">
        <v>267.71676635742102</v>
      </c>
      <c r="C152" s="3">
        <v>134.382232666015</v>
      </c>
      <c r="D152" s="3">
        <v>3443.88989257812</v>
      </c>
      <c r="E152" s="3">
        <v>2450.71997070312</v>
      </c>
      <c r="F152" s="3">
        <v>688.719970703125</v>
      </c>
      <c r="G152" s="3">
        <v>2536.38989257812</v>
      </c>
      <c r="H152" s="3">
        <v>355.64001464843699</v>
      </c>
      <c r="I152" s="3">
        <v>199.79031372070301</v>
      </c>
      <c r="J152" s="3">
        <v>276.60998535156199</v>
      </c>
      <c r="K152" s="3">
        <v>152.52664184570301</v>
      </c>
      <c r="L152" s="3">
        <v>4290.60986328125</v>
      </c>
      <c r="N152" s="3">
        <f t="shared" si="70"/>
        <v>9.9236462040082074E-3</v>
      </c>
      <c r="O152" s="3">
        <f t="shared" si="78"/>
        <v>1.1434596413976372E-2</v>
      </c>
      <c r="P152" s="3">
        <f t="shared" si="79"/>
        <v>1.2333088135694226E-3</v>
      </c>
      <c r="Q152" s="3">
        <f t="shared" si="80"/>
        <v>-2.1527118750048757E-3</v>
      </c>
      <c r="R152" s="3">
        <f t="shared" si="81"/>
        <v>-1.1624924339891152E-2</v>
      </c>
      <c r="S152" s="3">
        <f t="shared" si="82"/>
        <v>-6.3360052493770525E-3</v>
      </c>
      <c r="T152" s="3">
        <f t="shared" si="83"/>
        <v>-1.0600356054201399E-2</v>
      </c>
      <c r="U152" s="3">
        <f t="shared" si="84"/>
        <v>2.0868032573622131E-3</v>
      </c>
      <c r="V152" s="3">
        <f t="shared" si="85"/>
        <v>-1.4471038785437429E-3</v>
      </c>
      <c r="W152" s="3">
        <f t="shared" si="86"/>
        <v>-1.2318525801333635E-3</v>
      </c>
      <c r="X152" s="3">
        <f t="shared" si="87"/>
        <v>2.7729774268614449E-4</v>
      </c>
      <c r="AK152" s="3"/>
      <c r="AL152" s="8"/>
      <c r="AW152" s="3"/>
      <c r="AY152" s="5"/>
      <c r="AZ152" s="28">
        <f t="shared" si="76"/>
        <v>44371</v>
      </c>
      <c r="BA152" s="3">
        <f t="shared" si="77"/>
        <v>147</v>
      </c>
      <c r="BB152" s="3">
        <f t="shared" si="71"/>
        <v>1.3090867373189203</v>
      </c>
      <c r="BC152" s="3">
        <f t="shared" si="72"/>
        <v>1.293275200153688</v>
      </c>
      <c r="BD152" s="3">
        <f t="shared" si="73"/>
        <v>1.4234355120699407</v>
      </c>
      <c r="BE152" s="3">
        <f t="shared" si="74"/>
        <v>0.94953072779365344</v>
      </c>
      <c r="BG152" s="3">
        <f t="shared" si="75"/>
        <v>-2.9870336869550207E-3</v>
      </c>
      <c r="BH152" s="3">
        <f t="shared" si="88"/>
        <v>-1.2821138326611914E-3</v>
      </c>
      <c r="BI152" s="3">
        <f t="shared" si="89"/>
        <v>-3.9780936314054438E-4</v>
      </c>
      <c r="BJ152" s="3">
        <f t="shared" si="90"/>
        <v>3.7112588671051744E-4</v>
      </c>
    </row>
    <row r="153" spans="1:62" x14ac:dyDescent="0.3">
      <c r="A153" s="27">
        <v>44376</v>
      </c>
      <c r="B153" s="3">
        <v>270.38671875</v>
      </c>
      <c r="C153" s="3">
        <v>135.92765808105401</v>
      </c>
      <c r="D153" s="3">
        <v>3448.13989257812</v>
      </c>
      <c r="E153" s="3">
        <v>2445.44995117187</v>
      </c>
      <c r="F153" s="3">
        <v>680.760009765625</v>
      </c>
      <c r="G153" s="3">
        <v>2520.3701171875</v>
      </c>
      <c r="H153" s="3">
        <v>351.89001464843699</v>
      </c>
      <c r="I153" s="3">
        <v>200.20767211914</v>
      </c>
      <c r="J153" s="3">
        <v>276.20999145507801</v>
      </c>
      <c r="K153" s="3">
        <v>152.3388671875</v>
      </c>
      <c r="L153" s="3">
        <v>4291.7998046875</v>
      </c>
      <c r="N153" s="3">
        <f t="shared" si="70"/>
        <v>-1.843904483534331E-3</v>
      </c>
      <c r="O153" s="3">
        <f t="shared" si="78"/>
        <v>4.6106258937790301E-3</v>
      </c>
      <c r="P153" s="3">
        <f t="shared" si="79"/>
        <v>-2.3169676886762858E-3</v>
      </c>
      <c r="Q153" s="3">
        <f t="shared" si="80"/>
        <v>-1.4977422024911036E-3</v>
      </c>
      <c r="R153" s="3">
        <f t="shared" si="81"/>
        <v>-1.5582931596247462E-3</v>
      </c>
      <c r="S153" s="3">
        <f t="shared" si="82"/>
        <v>-5.5901935064497366E-3</v>
      </c>
      <c r="T153" s="3">
        <f t="shared" si="83"/>
        <v>-1.1949893936638922E-2</v>
      </c>
      <c r="U153" s="3">
        <f t="shared" si="84"/>
        <v>-1.2116345842096976E-3</v>
      </c>
      <c r="V153" s="3">
        <f t="shared" si="85"/>
        <v>6.1719357763587723E-3</v>
      </c>
      <c r="W153" s="3">
        <f t="shared" si="86"/>
        <v>9.0416238866719567E-3</v>
      </c>
      <c r="X153" s="3">
        <f t="shared" si="87"/>
        <v>1.3272784229076962E-3</v>
      </c>
      <c r="AK153" s="3"/>
      <c r="AL153" s="8"/>
      <c r="AW153" s="3"/>
      <c r="AY153" s="5"/>
      <c r="AZ153" s="28">
        <f t="shared" si="76"/>
        <v>44372</v>
      </c>
      <c r="BA153" s="3">
        <f t="shared" si="77"/>
        <v>148</v>
      </c>
      <c r="BB153" s="3">
        <f t="shared" si="71"/>
        <v>1.3051822854031834</v>
      </c>
      <c r="BC153" s="3">
        <f t="shared" si="72"/>
        <v>1.2916181366291588</v>
      </c>
      <c r="BD153" s="3">
        <f t="shared" si="73"/>
        <v>1.4228693687114431</v>
      </c>
      <c r="BE153" s="3">
        <f t="shared" si="74"/>
        <v>0.94988318862658883</v>
      </c>
      <c r="BG153" s="3">
        <f t="shared" si="75"/>
        <v>1.5124123951502477E-2</v>
      </c>
      <c r="BH153" s="3">
        <f t="shared" si="88"/>
        <v>1.1001423175221514E-2</v>
      </c>
      <c r="BI153" s="3">
        <f t="shared" si="89"/>
        <v>1.6355422728051128E-2</v>
      </c>
      <c r="BJ153" s="3">
        <f t="shared" si="90"/>
        <v>2.0808005986184829E-2</v>
      </c>
    </row>
    <row r="154" spans="1:62" x14ac:dyDescent="0.3">
      <c r="A154" s="27">
        <v>44377</v>
      </c>
      <c r="B154" s="3">
        <v>269.88861083984301</v>
      </c>
      <c r="C154" s="3">
        <v>136.55581665039</v>
      </c>
      <c r="D154" s="3">
        <v>3440.15991210937</v>
      </c>
      <c r="E154" s="3">
        <v>2441.7900390625</v>
      </c>
      <c r="F154" s="3">
        <v>679.70001220703102</v>
      </c>
      <c r="G154" s="3">
        <v>2506.32006835937</v>
      </c>
      <c r="H154" s="3">
        <v>347.70999145507801</v>
      </c>
      <c r="I154" s="3">
        <v>199.965240478515</v>
      </c>
      <c r="J154" s="3">
        <v>277.92001342773398</v>
      </c>
      <c r="K154" s="3">
        <v>153.72250366210901</v>
      </c>
      <c r="L154" s="3">
        <v>4297.5</v>
      </c>
      <c r="N154" s="3">
        <f t="shared" si="70"/>
        <v>2.5807634567884818E-3</v>
      </c>
      <c r="O154" s="3">
        <f t="shared" si="78"/>
        <v>2.260854028778958E-3</v>
      </c>
      <c r="P154" s="3">
        <f t="shared" si="79"/>
        <v>-2.0921891922665026E-3</v>
      </c>
      <c r="Q154" s="3">
        <f t="shared" si="80"/>
        <v>2.9034239011451746E-3</v>
      </c>
      <c r="R154" s="3">
        <f t="shared" si="81"/>
        <v>-2.6222806430169499E-3</v>
      </c>
      <c r="S154" s="3">
        <f t="shared" si="82"/>
        <v>8.3637136014695912E-3</v>
      </c>
      <c r="T154" s="3">
        <f t="shared" si="83"/>
        <v>1.9029268511721931E-2</v>
      </c>
      <c r="U154" s="3">
        <f t="shared" si="84"/>
        <v>1.041930469218233E-2</v>
      </c>
      <c r="V154" s="3">
        <f t="shared" si="85"/>
        <v>8.0632589089306705E-3</v>
      </c>
      <c r="W154" s="3">
        <f t="shared" si="86"/>
        <v>9.852383053886804E-3</v>
      </c>
      <c r="X154" s="3">
        <f t="shared" si="87"/>
        <v>5.2080414322546176E-3</v>
      </c>
      <c r="AK154" s="3"/>
      <c r="AL154" s="8"/>
      <c r="AW154" s="3"/>
      <c r="AY154" s="5"/>
      <c r="AZ154" s="28">
        <f t="shared" si="76"/>
        <v>44375</v>
      </c>
      <c r="BA154" s="3">
        <f t="shared" si="77"/>
        <v>149</v>
      </c>
      <c r="BB154" s="3">
        <f t="shared" si="71"/>
        <v>1.3250720525898583</v>
      </c>
      <c r="BC154" s="3">
        <f t="shared" si="72"/>
        <v>1.3059062248750382</v>
      </c>
      <c r="BD154" s="3">
        <f t="shared" si="73"/>
        <v>1.4463323491791995</v>
      </c>
      <c r="BE154" s="3">
        <f t="shared" si="74"/>
        <v>0.96985543439116872</v>
      </c>
      <c r="BG154" s="3">
        <f t="shared" si="75"/>
        <v>-1.1494306526605991E-3</v>
      </c>
      <c r="BH154" s="3">
        <f t="shared" si="88"/>
        <v>-3.4791628098229666E-4</v>
      </c>
      <c r="BI154" s="3">
        <f t="shared" si="89"/>
        <v>1.9554443039734304E-3</v>
      </c>
      <c r="BJ154" s="3">
        <f t="shared" si="90"/>
        <v>5.6669689669935283E-3</v>
      </c>
    </row>
    <row r="155" spans="1:62" x14ac:dyDescent="0.3">
      <c r="A155" s="27">
        <v>44378</v>
      </c>
      <c r="B155" s="3">
        <v>270.58602905273398</v>
      </c>
      <c r="C155" s="3">
        <v>136.86489868164</v>
      </c>
      <c r="D155" s="3">
        <v>3432.96997070312</v>
      </c>
      <c r="E155" s="3">
        <v>2448.88989257812</v>
      </c>
      <c r="F155" s="3">
        <v>677.91998291015602</v>
      </c>
      <c r="G155" s="3">
        <v>2527.3701171875</v>
      </c>
      <c r="H155" s="3">
        <v>354.39001464843699</v>
      </c>
      <c r="I155" s="3">
        <v>202.05963134765599</v>
      </c>
      <c r="J155" s="3">
        <v>280.17001342773398</v>
      </c>
      <c r="K155" s="3">
        <v>155.24452209472599</v>
      </c>
      <c r="L155" s="3">
        <v>4319.93994140625</v>
      </c>
      <c r="N155" s="3">
        <f t="shared" si="70"/>
        <v>2.2030790582222792E-2</v>
      </c>
      <c r="O155" s="3">
        <f t="shared" si="78"/>
        <v>1.9406924134294457E-2</v>
      </c>
      <c r="P155" s="3">
        <f t="shared" si="79"/>
        <v>2.2469428033467409E-2</v>
      </c>
      <c r="Q155" s="3">
        <f t="shared" si="80"/>
        <v>2.2713757198042472E-2</v>
      </c>
      <c r="R155" s="3">
        <f t="shared" si="81"/>
        <v>1.4446155997909216E-3</v>
      </c>
      <c r="S155" s="3">
        <f t="shared" si="82"/>
        <v>1.8429400171105392E-2</v>
      </c>
      <c r="T155" s="3">
        <f t="shared" si="83"/>
        <v>8.7435323189577474E-4</v>
      </c>
      <c r="U155" s="3">
        <f t="shared" si="84"/>
        <v>1.3514038463636524E-2</v>
      </c>
      <c r="V155" s="3">
        <f t="shared" si="85"/>
        <v>-3.7548303319079324E-3</v>
      </c>
      <c r="W155" s="3">
        <f t="shared" si="86"/>
        <v>-9.6093915884498671E-4</v>
      </c>
      <c r="X155" s="3">
        <f t="shared" si="87"/>
        <v>7.4720958946912219E-3</v>
      </c>
      <c r="AK155" s="3"/>
      <c r="AL155" s="8"/>
      <c r="AW155" s="3"/>
      <c r="AY155" s="5"/>
      <c r="AZ155" s="28">
        <f t="shared" si="76"/>
        <v>44376</v>
      </c>
      <c r="BA155" s="3">
        <f t="shared" si="77"/>
        <v>150</v>
      </c>
      <c r="BB155" s="3">
        <f t="shared" si="71"/>
        <v>1.3235498491568638</v>
      </c>
      <c r="BC155" s="3">
        <f t="shared" si="72"/>
        <v>1.3054519578659944</v>
      </c>
      <c r="BD155" s="3">
        <f t="shared" si="73"/>
        <v>1.4491633385519904</v>
      </c>
      <c r="BE155" s="3">
        <f t="shared" si="74"/>
        <v>0.97536717772897552</v>
      </c>
      <c r="BG155" s="3">
        <f t="shared" si="75"/>
        <v>-7.069524897199142E-4</v>
      </c>
      <c r="BH155" s="3">
        <f t="shared" si="88"/>
        <v>-1.1139942814486492E-5</v>
      </c>
      <c r="BI155" s="3">
        <f t="shared" si="89"/>
        <v>3.7834765150918104E-3</v>
      </c>
      <c r="BJ155" s="3">
        <f t="shared" si="90"/>
        <v>7.4694550672545594E-3</v>
      </c>
    </row>
    <row r="156" spans="1:62" x14ac:dyDescent="0.3">
      <c r="A156" s="27">
        <v>44379</v>
      </c>
      <c r="B156" s="3">
        <v>276.61340332031199</v>
      </c>
      <c r="C156" s="3">
        <v>139.54696655273401</v>
      </c>
      <c r="D156" s="3">
        <v>3510.97998046875</v>
      </c>
      <c r="E156" s="3">
        <v>2505.14990234375</v>
      </c>
      <c r="F156" s="3">
        <v>678.90002441406205</v>
      </c>
      <c r="G156" s="3">
        <v>2574.3798828125</v>
      </c>
      <c r="H156" s="3">
        <v>354.70001220703102</v>
      </c>
      <c r="I156" s="3">
        <v>204.80880737304599</v>
      </c>
      <c r="J156" s="3">
        <v>279.11999511718699</v>
      </c>
      <c r="K156" s="3">
        <v>155.09541320800699</v>
      </c>
      <c r="L156" s="3">
        <v>4352.33984375</v>
      </c>
      <c r="N156" s="3">
        <f t="shared" si="70"/>
        <v>3.6075865895490722E-5</v>
      </c>
      <c r="O156" s="3">
        <f t="shared" si="78"/>
        <v>1.4611144258024567E-2</v>
      </c>
      <c r="P156" s="3">
        <f t="shared" si="79"/>
        <v>4.5859275057557269E-2</v>
      </c>
      <c r="Q156" s="3">
        <f t="shared" si="80"/>
        <v>7.4171475823350264E-3</v>
      </c>
      <c r="R156" s="3">
        <f t="shared" si="81"/>
        <v>-2.8870582539789247E-2</v>
      </c>
      <c r="S156" s="3">
        <f t="shared" si="82"/>
        <v>8.1396402268438806E-3</v>
      </c>
      <c r="T156" s="3">
        <f t="shared" si="83"/>
        <v>-5.4277664715716156E-3</v>
      </c>
      <c r="U156" s="3">
        <f t="shared" si="84"/>
        <v>1.0270677607760348E-2</v>
      </c>
      <c r="V156" s="3">
        <f t="shared" si="85"/>
        <v>-6.4696788999221155E-3</v>
      </c>
      <c r="W156" s="3">
        <f t="shared" si="86"/>
        <v>-1.6934235872391845E-2</v>
      </c>
      <c r="X156" s="3">
        <f t="shared" si="87"/>
        <v>-2.0239027700217349E-3</v>
      </c>
      <c r="AK156" s="3"/>
      <c r="AL156" s="8"/>
      <c r="AW156" s="3"/>
      <c r="AY156" s="5"/>
      <c r="AZ156" s="28">
        <f t="shared" si="76"/>
        <v>44377</v>
      </c>
      <c r="BA156" s="3">
        <f t="shared" si="77"/>
        <v>151</v>
      </c>
      <c r="BB156" s="3">
        <f t="shared" si="71"/>
        <v>1.3226144929608858</v>
      </c>
      <c r="BC156" s="3">
        <f t="shared" si="72"/>
        <v>1.3054374152868387</v>
      </c>
      <c r="BD156" s="3">
        <f t="shared" si="73"/>
        <v>1.4546565992685292</v>
      </c>
      <c r="BE156" s="3">
        <f t="shared" si="74"/>
        <v>0.98267991612273309</v>
      </c>
      <c r="BG156" s="3">
        <f t="shared" si="75"/>
        <v>6.0701170717485375E-3</v>
      </c>
      <c r="BH156" s="3">
        <f t="shared" si="88"/>
        <v>6.2632884823822788E-3</v>
      </c>
      <c r="BI156" s="3">
        <f t="shared" si="89"/>
        <v>6.0211474934780962E-3</v>
      </c>
      <c r="BJ156" s="3">
        <f t="shared" si="90"/>
        <v>5.6594456764800655E-3</v>
      </c>
    </row>
    <row r="157" spans="1:62" x14ac:dyDescent="0.3">
      <c r="A157" s="27">
        <v>44383</v>
      </c>
      <c r="B157" s="3">
        <v>276.62338256835898</v>
      </c>
      <c r="C157" s="3">
        <v>141.60087585449199</v>
      </c>
      <c r="D157" s="3">
        <v>3675.73999023437</v>
      </c>
      <c r="E157" s="3">
        <v>2523.80004882812</v>
      </c>
      <c r="F157" s="3">
        <v>659.58001708984295</v>
      </c>
      <c r="G157" s="3">
        <v>2595.419921875</v>
      </c>
      <c r="H157" s="3">
        <v>352.77999877929602</v>
      </c>
      <c r="I157" s="3">
        <v>206.92317199707</v>
      </c>
      <c r="J157" s="3">
        <v>277.32000732421801</v>
      </c>
      <c r="K157" s="3">
        <v>152.49110412597599</v>
      </c>
      <c r="L157" s="3">
        <v>4343.5400390625</v>
      </c>
      <c r="N157" s="3">
        <f t="shared" si="70"/>
        <v>8.1421564423695969E-3</v>
      </c>
      <c r="O157" s="3">
        <f t="shared" si="78"/>
        <v>1.7795967733570173E-2</v>
      </c>
      <c r="P157" s="3">
        <f t="shared" si="79"/>
        <v>5.6536187271767346E-3</v>
      </c>
      <c r="Q157" s="3">
        <f t="shared" si="80"/>
        <v>2.2480187124811479E-3</v>
      </c>
      <c r="R157" s="3">
        <f t="shared" si="81"/>
        <v>-2.2895723000361023E-2</v>
      </c>
      <c r="S157" s="3">
        <f t="shared" si="82"/>
        <v>2.3591168818546393E-3</v>
      </c>
      <c r="T157" s="3">
        <f t="shared" si="83"/>
        <v>-6.5124821887012629E-3</v>
      </c>
      <c r="U157" s="3">
        <f t="shared" si="84"/>
        <v>-1.5912103038731473E-2</v>
      </c>
      <c r="V157" s="3">
        <f t="shared" si="85"/>
        <v>6.8994916450444421E-3</v>
      </c>
      <c r="W157" s="3">
        <f t="shared" si="86"/>
        <v>1.1726564218816904E-3</v>
      </c>
      <c r="X157" s="3">
        <f t="shared" si="87"/>
        <v>3.3533465536628171E-3</v>
      </c>
      <c r="AK157" s="3"/>
      <c r="AL157" s="8"/>
      <c r="AW157" s="3"/>
      <c r="AY157" s="5"/>
      <c r="AZ157" s="28">
        <f t="shared" si="76"/>
        <v>44378</v>
      </c>
      <c r="BA157" s="3">
        <f t="shared" si="77"/>
        <v>152</v>
      </c>
      <c r="BB157" s="3">
        <f t="shared" si="71"/>
        <v>1.3306673338911046</v>
      </c>
      <c r="BC157" s="3">
        <f t="shared" si="72"/>
        <v>1.3136394053164955</v>
      </c>
      <c r="BD157" s="3">
        <f t="shared" si="73"/>
        <v>1.4634417229262664</v>
      </c>
      <c r="BE157" s="3">
        <f t="shared" si="74"/>
        <v>0.9882571067429391</v>
      </c>
      <c r="BG157" s="3">
        <f t="shared" si="75"/>
        <v>1.155585892557881E-2</v>
      </c>
      <c r="BH157" s="3">
        <f t="shared" si="88"/>
        <v>1.1477588357883872E-2</v>
      </c>
      <c r="BI157" s="3">
        <f t="shared" si="89"/>
        <v>7.2438557500364986E-3</v>
      </c>
      <c r="BJ157" s="3">
        <f t="shared" si="90"/>
        <v>4.6462923434589095E-3</v>
      </c>
    </row>
    <row r="158" spans="1:62" x14ac:dyDescent="0.3">
      <c r="A158" s="27">
        <v>44384</v>
      </c>
      <c r="B158" s="3">
        <v>278.88488769531199</v>
      </c>
      <c r="C158" s="3">
        <v>144.14335632324199</v>
      </c>
      <c r="D158" s="3">
        <v>3696.580078125</v>
      </c>
      <c r="E158" s="3">
        <v>2529.47998046875</v>
      </c>
      <c r="F158" s="3">
        <v>644.65002441406205</v>
      </c>
      <c r="G158" s="3">
        <v>2601.55004882812</v>
      </c>
      <c r="H158" s="3">
        <v>350.489990234375</v>
      </c>
      <c r="I158" s="3">
        <v>203.656646728515</v>
      </c>
      <c r="J158" s="3">
        <v>279.239990234375</v>
      </c>
      <c r="K158" s="3">
        <v>152.67002868652301</v>
      </c>
      <c r="L158" s="3">
        <v>4358.1298828125</v>
      </c>
      <c r="N158" s="3">
        <f t="shared" si="70"/>
        <v>-9.0069012075568722E-3</v>
      </c>
      <c r="O158" s="3">
        <f t="shared" si="78"/>
        <v>-9.2423114002020412E-3</v>
      </c>
      <c r="P158" s="3">
        <f t="shared" si="79"/>
        <v>9.3780657480646568E-3</v>
      </c>
      <c r="Q158" s="3">
        <f t="shared" si="80"/>
        <v>-1.1371117218035742E-2</v>
      </c>
      <c r="R158" s="3">
        <f t="shared" si="81"/>
        <v>1.2578546691520032E-2</v>
      </c>
      <c r="S158" s="3">
        <f t="shared" si="82"/>
        <v>-6.9468733962612106E-3</v>
      </c>
      <c r="T158" s="3">
        <f t="shared" si="83"/>
        <v>-1.3905462801196755E-2</v>
      </c>
      <c r="U158" s="3">
        <f t="shared" si="84"/>
        <v>-2.3291298750723222E-2</v>
      </c>
      <c r="V158" s="3">
        <f t="shared" si="85"/>
        <v>-1.8578566553828502E-2</v>
      </c>
      <c r="W158" s="3">
        <f t="shared" si="86"/>
        <v>-1.7404292175627667E-2</v>
      </c>
      <c r="X158" s="3">
        <f t="shared" si="87"/>
        <v>-8.5978810095550529E-3</v>
      </c>
      <c r="AK158" s="3"/>
      <c r="AL158" s="8"/>
      <c r="AW158" s="3"/>
      <c r="AY158" s="5"/>
      <c r="AZ158" s="28">
        <f t="shared" si="76"/>
        <v>44379</v>
      </c>
      <c r="BA158" s="3">
        <f t="shared" si="77"/>
        <v>153</v>
      </c>
      <c r="BB158" s="3">
        <f t="shared" si="71"/>
        <v>1.3461335283492168</v>
      </c>
      <c r="BC158" s="3">
        <f t="shared" si="72"/>
        <v>1.3288036758169133</v>
      </c>
      <c r="BD158" s="3">
        <f t="shared" si="73"/>
        <v>1.4740811724605645</v>
      </c>
      <c r="BE158" s="3">
        <f t="shared" si="74"/>
        <v>0.9928595219749401</v>
      </c>
      <c r="BG158" s="3">
        <f t="shared" si="75"/>
        <v>2.3743534712207803E-3</v>
      </c>
      <c r="BH158" s="3">
        <f t="shared" si="88"/>
        <v>3.2287448369134331E-3</v>
      </c>
      <c r="BI158" s="3">
        <f t="shared" si="89"/>
        <v>8.5296125778833165E-4</v>
      </c>
      <c r="BJ158" s="3">
        <f t="shared" si="90"/>
        <v>2.4890149419732176E-3</v>
      </c>
    </row>
    <row r="159" spans="1:62" x14ac:dyDescent="0.3">
      <c r="A159" s="27">
        <v>44385</v>
      </c>
      <c r="B159" s="3">
        <v>276.38427734375</v>
      </c>
      <c r="C159" s="3">
        <v>142.81727600097599</v>
      </c>
      <c r="D159" s="3">
        <v>3731.40991210937</v>
      </c>
      <c r="E159" s="3">
        <v>2500.8798828125</v>
      </c>
      <c r="F159" s="3">
        <v>652.80999755859295</v>
      </c>
      <c r="G159" s="3">
        <v>2583.5400390625</v>
      </c>
      <c r="H159" s="3">
        <v>345.64999389648398</v>
      </c>
      <c r="I159" s="3">
        <v>198.96803283691401</v>
      </c>
      <c r="J159" s="3">
        <v>274.100006103515</v>
      </c>
      <c r="K159" s="3">
        <v>150.03590393066401</v>
      </c>
      <c r="L159" s="3">
        <v>4320.81982421875</v>
      </c>
      <c r="N159" s="3">
        <f t="shared" si="70"/>
        <v>1.8726878182198092E-3</v>
      </c>
      <c r="O159" s="3">
        <f t="shared" si="78"/>
        <v>1.2970567429654523E-2</v>
      </c>
      <c r="P159" s="3">
        <f t="shared" si="79"/>
        <v>-3.2398979369236969E-3</v>
      </c>
      <c r="Q159" s="3">
        <f t="shared" si="80"/>
        <v>3.7875762416010872E-3</v>
      </c>
      <c r="R159" s="3">
        <f t="shared" si="81"/>
        <v>6.3218122490251716E-3</v>
      </c>
      <c r="S159" s="3">
        <f t="shared" si="82"/>
        <v>3.0724294857060741E-3</v>
      </c>
      <c r="T159" s="3">
        <f t="shared" si="83"/>
        <v>1.3705788644720052E-2</v>
      </c>
      <c r="U159" s="3">
        <f t="shared" si="84"/>
        <v>7.383807002556253E-3</v>
      </c>
      <c r="V159" s="3">
        <f t="shared" si="85"/>
        <v>2.3045013310847295E-2</v>
      </c>
      <c r="W159" s="3">
        <f t="shared" si="86"/>
        <v>3.1498164861690547E-2</v>
      </c>
      <c r="X159" s="3">
        <f t="shared" si="87"/>
        <v>1.121482590241385E-2</v>
      </c>
      <c r="AK159" s="3"/>
      <c r="AL159" s="8"/>
      <c r="AW159" s="3"/>
      <c r="AY159" s="5"/>
      <c r="AZ159" s="28">
        <f t="shared" si="76"/>
        <v>44383</v>
      </c>
      <c r="BA159" s="3">
        <f t="shared" si="77"/>
        <v>154</v>
      </c>
      <c r="BB159" s="3">
        <f t="shared" si="71"/>
        <v>1.3493335226203873</v>
      </c>
      <c r="BC159" s="3">
        <f t="shared" si="72"/>
        <v>1.3331009775366427</v>
      </c>
      <c r="BD159" s="3">
        <f t="shared" si="73"/>
        <v>1.4753390429726527</v>
      </c>
      <c r="BE159" s="3">
        <f t="shared" si="74"/>
        <v>0.99533384219300514</v>
      </c>
      <c r="BG159" s="3">
        <f t="shared" si="75"/>
        <v>-5.7524110380091642E-4</v>
      </c>
      <c r="BH159" s="3">
        <f t="shared" si="88"/>
        <v>2.1361794039161941E-3</v>
      </c>
      <c r="BI159" s="3">
        <f t="shared" si="89"/>
        <v>-1.6993987741470429E-4</v>
      </c>
      <c r="BJ159" s="3">
        <f t="shared" si="90"/>
        <v>-1.7603871412119089E-4</v>
      </c>
    </row>
    <row r="160" spans="1:62" x14ac:dyDescent="0.3">
      <c r="A160" s="27">
        <v>44386</v>
      </c>
      <c r="B160" s="3">
        <v>276.90234375</v>
      </c>
      <c r="C160" s="3">
        <v>144.68176269531199</v>
      </c>
      <c r="D160" s="3">
        <v>3719.34008789062</v>
      </c>
      <c r="E160" s="3">
        <v>2510.3701171875</v>
      </c>
      <c r="F160" s="3">
        <v>656.95001220703102</v>
      </c>
      <c r="G160" s="3">
        <v>2591.48999023437</v>
      </c>
      <c r="H160" s="3">
        <v>350.42001342773398</v>
      </c>
      <c r="I160" s="3">
        <v>200.442611694335</v>
      </c>
      <c r="J160" s="3">
        <v>280.489990234375</v>
      </c>
      <c r="K160" s="3">
        <v>154.83697509765599</v>
      </c>
      <c r="L160" s="3">
        <v>4369.5498046875</v>
      </c>
      <c r="N160" s="3">
        <f t="shared" si="70"/>
        <v>-2.2331545204776759E-3</v>
      </c>
      <c r="O160" s="3">
        <f t="shared" si="78"/>
        <v>-4.2126756483797934E-3</v>
      </c>
      <c r="P160" s="3">
        <f t="shared" si="79"/>
        <v>-2.1243633636558457E-4</v>
      </c>
      <c r="Q160" s="3">
        <f t="shared" si="80"/>
        <v>1.1540953560128742E-2</v>
      </c>
      <c r="R160" s="3">
        <f t="shared" si="81"/>
        <v>4.2832301423408659E-2</v>
      </c>
      <c r="S160" s="3">
        <f t="shared" si="82"/>
        <v>7.6075376898128155E-3</v>
      </c>
      <c r="T160" s="3">
        <f t="shared" si="83"/>
        <v>7.7887490250159175E-3</v>
      </c>
      <c r="U160" s="3">
        <f t="shared" si="84"/>
        <v>2.2792783725365418E-2</v>
      </c>
      <c r="V160" s="3">
        <f t="shared" si="85"/>
        <v>-1.3557080184245507E-3</v>
      </c>
      <c r="W160" s="3">
        <f t="shared" si="86"/>
        <v>1.4214481931951184E-2</v>
      </c>
      <c r="X160" s="3">
        <f t="shared" si="87"/>
        <v>3.445232695593603E-3</v>
      </c>
      <c r="AK160" s="3"/>
      <c r="AL160" s="8"/>
      <c r="AW160" s="3"/>
      <c r="AY160" s="5"/>
      <c r="AZ160" s="28">
        <f t="shared" si="76"/>
        <v>44384</v>
      </c>
      <c r="BA160" s="3">
        <f t="shared" si="77"/>
        <v>155</v>
      </c>
      <c r="BB160" s="3">
        <f t="shared" si="71"/>
        <v>1.34855755372144</v>
      </c>
      <c r="BC160" s="3">
        <f t="shared" si="72"/>
        <v>1.3359517642000007</v>
      </c>
      <c r="BD160" s="3">
        <f t="shared" si="73"/>
        <v>1.4750883453389108</v>
      </c>
      <c r="BE160" s="3">
        <f t="shared" si="74"/>
        <v>0.99515864032491241</v>
      </c>
      <c r="BG160" s="3">
        <f t="shared" si="75"/>
        <v>-9.109119265528931E-3</v>
      </c>
      <c r="BH160" s="3">
        <f t="shared" si="88"/>
        <v>-1.0183271416443374E-2</v>
      </c>
      <c r="BI160" s="3">
        <f t="shared" si="89"/>
        <v>-1.2957623797251572E-2</v>
      </c>
      <c r="BJ160" s="3">
        <f t="shared" si="90"/>
        <v>-1.6049181733689643E-2</v>
      </c>
    </row>
    <row r="161" spans="1:62" x14ac:dyDescent="0.3">
      <c r="A161" s="27">
        <v>44389</v>
      </c>
      <c r="B161" s="3">
        <v>276.28466796875</v>
      </c>
      <c r="C161" s="3">
        <v>144.07354736328099</v>
      </c>
      <c r="D161" s="3">
        <v>3718.55004882812</v>
      </c>
      <c r="E161" s="3">
        <v>2539.51000976562</v>
      </c>
      <c r="F161" s="3">
        <v>685.70001220703102</v>
      </c>
      <c r="G161" s="3">
        <v>2611.28002929687</v>
      </c>
      <c r="H161" s="3">
        <v>353.16000366210898</v>
      </c>
      <c r="I161" s="3">
        <v>205.063720703125</v>
      </c>
      <c r="J161" s="3">
        <v>280.10998535156199</v>
      </c>
      <c r="K161" s="3">
        <v>157.053619384765</v>
      </c>
      <c r="L161" s="3">
        <v>4384.6298828125</v>
      </c>
      <c r="N161" s="3">
        <f t="shared" si="70"/>
        <v>1.3111294471305435E-2</v>
      </c>
      <c r="O161" s="3">
        <f t="shared" si="78"/>
        <v>7.8583629792472465E-3</v>
      </c>
      <c r="P161" s="3">
        <f t="shared" si="79"/>
        <v>-1.1138687843981643E-2</v>
      </c>
      <c r="Q161" s="3">
        <f t="shared" si="80"/>
        <v>2.8783263748168864E-3</v>
      </c>
      <c r="R161" s="3">
        <f t="shared" si="81"/>
        <v>-2.5344034754806621E-2</v>
      </c>
      <c r="S161" s="3">
        <f t="shared" si="82"/>
        <v>3.2917573637636366E-3</v>
      </c>
      <c r="T161" s="3">
        <f t="shared" si="83"/>
        <v>-3.0344080687365604E-3</v>
      </c>
      <c r="U161" s="3">
        <f t="shared" si="84"/>
        <v>-1.2879617115300057E-2</v>
      </c>
      <c r="V161" s="3">
        <f t="shared" si="85"/>
        <v>-3.2181746068351558E-3</v>
      </c>
      <c r="W161" s="3">
        <f t="shared" si="86"/>
        <v>-1.4985222840580015E-2</v>
      </c>
      <c r="X161" s="3">
        <f t="shared" si="87"/>
        <v>-3.5230111811657139E-3</v>
      </c>
      <c r="AK161" s="3"/>
      <c r="AL161" s="8"/>
      <c r="AW161" s="3"/>
      <c r="AY161" s="5"/>
      <c r="AZ161" s="28">
        <f t="shared" si="76"/>
        <v>44385</v>
      </c>
      <c r="BA161" s="3">
        <f t="shared" si="77"/>
        <v>156</v>
      </c>
      <c r="BB161" s="3">
        <f t="shared" si="71"/>
        <v>1.3363291616243735</v>
      </c>
      <c r="BC161" s="3">
        <f t="shared" si="72"/>
        <v>1.3224164386989792</v>
      </c>
      <c r="BD161" s="3">
        <f t="shared" si="73"/>
        <v>1.4560980060343212</v>
      </c>
      <c r="BE161" s="3">
        <f t="shared" si="74"/>
        <v>0.97931464015656333</v>
      </c>
      <c r="BG161" s="3">
        <f t="shared" si="75"/>
        <v>9.9133053550743422E-3</v>
      </c>
      <c r="BH161" s="3">
        <f t="shared" si="88"/>
        <v>1.0911038024821629E-2</v>
      </c>
      <c r="BI161" s="3">
        <f t="shared" si="89"/>
        <v>1.5818697016040995E-2</v>
      </c>
      <c r="BJ161" s="3">
        <f t="shared" si="90"/>
        <v>1.970814269768266E-2</v>
      </c>
    </row>
    <row r="162" spans="1:62" x14ac:dyDescent="0.3">
      <c r="A162" s="27">
        <v>44390</v>
      </c>
      <c r="B162" s="3">
        <v>279.93096923828102</v>
      </c>
      <c r="C162" s="3">
        <v>145.210189819335</v>
      </c>
      <c r="D162" s="3">
        <v>3677.36010742187</v>
      </c>
      <c r="E162" s="3">
        <v>2546.830078125</v>
      </c>
      <c r="F162" s="3">
        <v>668.53997802734295</v>
      </c>
      <c r="G162" s="3">
        <v>2619.88989257812</v>
      </c>
      <c r="H162" s="3">
        <v>352.08999633789</v>
      </c>
      <c r="I162" s="3">
        <v>202.43951416015599</v>
      </c>
      <c r="J162" s="3">
        <v>279.20999145507801</v>
      </c>
      <c r="K162" s="3">
        <v>154.717681884765</v>
      </c>
      <c r="L162" s="3">
        <v>4369.2099609375</v>
      </c>
      <c r="N162" s="3">
        <f t="shared" si="70"/>
        <v>5.4305791283839611E-3</v>
      </c>
      <c r="O162" s="3">
        <f t="shared" si="78"/>
        <v>2.3814636807570899E-2</v>
      </c>
      <c r="P162" s="3">
        <f t="shared" si="79"/>
        <v>1.1740185382862478E-3</v>
      </c>
      <c r="Q162" s="3">
        <f t="shared" si="80"/>
        <v>7.0076259002069818E-3</v>
      </c>
      <c r="R162" s="3">
        <f t="shared" si="81"/>
        <v>-2.2937300287662055E-2</v>
      </c>
      <c r="S162" s="3">
        <f t="shared" si="82"/>
        <v>8.2713938028096123E-3</v>
      </c>
      <c r="T162" s="3">
        <f t="shared" si="83"/>
        <v>-1.2748104522144033E-2</v>
      </c>
      <c r="U162" s="3">
        <f t="shared" si="84"/>
        <v>-2.0379197807032234E-2</v>
      </c>
      <c r="V162" s="3">
        <f t="shared" si="85"/>
        <v>-3.2285647007705975E-3</v>
      </c>
      <c r="W162" s="3">
        <f t="shared" si="86"/>
        <v>-3.4108831303223397E-3</v>
      </c>
      <c r="X162" s="3">
        <f t="shared" si="87"/>
        <v>1.164256565468591E-3</v>
      </c>
      <c r="AK162" s="3"/>
      <c r="AL162" s="8"/>
      <c r="AW162" s="3"/>
      <c r="AY162" s="5"/>
      <c r="AZ162" s="28">
        <f t="shared" si="76"/>
        <v>44386</v>
      </c>
      <c r="BA162" s="3">
        <f t="shared" si="77"/>
        <v>157</v>
      </c>
      <c r="BB162" s="3">
        <f t="shared" si="71"/>
        <v>1.3496424811303895</v>
      </c>
      <c r="BC162" s="3">
        <f t="shared" si="72"/>
        <v>1.3369243791598064</v>
      </c>
      <c r="BD162" s="3">
        <f t="shared" si="73"/>
        <v>1.4793147242057998</v>
      </c>
      <c r="BE162" s="3">
        <f t="shared" si="74"/>
        <v>0.99880655666472895</v>
      </c>
      <c r="BG162" s="3">
        <f t="shared" si="75"/>
        <v>1.0473639838660231E-2</v>
      </c>
      <c r="BH162" s="3">
        <f t="shared" si="88"/>
        <v>7.1496317649279439E-3</v>
      </c>
      <c r="BI162" s="3">
        <f t="shared" si="89"/>
        <v>1.0121210741343534E-2</v>
      </c>
      <c r="BJ162" s="3">
        <f t="shared" si="90"/>
        <v>9.6457714542616639E-3</v>
      </c>
    </row>
    <row r="163" spans="1:62" x14ac:dyDescent="0.3">
      <c r="A163" s="27">
        <v>44391</v>
      </c>
      <c r="B163" s="3">
        <v>281.45529174804602</v>
      </c>
      <c r="C163" s="3">
        <v>148.70982360839801</v>
      </c>
      <c r="D163" s="3">
        <v>3681.67993164062</v>
      </c>
      <c r="E163" s="3">
        <v>2564.73999023437</v>
      </c>
      <c r="F163" s="3">
        <v>653.38000488281205</v>
      </c>
      <c r="G163" s="3">
        <v>2641.64990234375</v>
      </c>
      <c r="H163" s="3">
        <v>347.63000488281199</v>
      </c>
      <c r="I163" s="3">
        <v>198.355712890625</v>
      </c>
      <c r="J163" s="3">
        <v>278.30999755859301</v>
      </c>
      <c r="K163" s="3">
        <v>154.19085693359301</v>
      </c>
      <c r="L163" s="3">
        <v>4374.2998046875</v>
      </c>
      <c r="N163" s="3">
        <f t="shared" si="70"/>
        <v>-5.2526772063776761E-3</v>
      </c>
      <c r="O163" s="3">
        <f t="shared" si="78"/>
        <v>-4.5021868872678894E-3</v>
      </c>
      <c r="P163" s="3">
        <f t="shared" si="79"/>
        <v>-1.380599246489389E-2</v>
      </c>
      <c r="Q163" s="3">
        <f t="shared" si="80"/>
        <v>-9.6536163749032511E-3</v>
      </c>
      <c r="R163" s="3">
        <f t="shared" si="81"/>
        <v>-4.2639205363483867E-3</v>
      </c>
      <c r="S163" s="3">
        <f t="shared" si="82"/>
        <v>-6.1970527730812464E-3</v>
      </c>
      <c r="T163" s="3">
        <f t="shared" si="83"/>
        <v>-9.1607612111648251E-3</v>
      </c>
      <c r="U163" s="3">
        <f t="shared" si="84"/>
        <v>-4.511442320524317E-2</v>
      </c>
      <c r="V163" s="3">
        <f t="shared" si="85"/>
        <v>5.0535156386519731E-3</v>
      </c>
      <c r="W163" s="3">
        <f t="shared" si="86"/>
        <v>2.189574018732543E-3</v>
      </c>
      <c r="X163" s="3">
        <f t="shared" si="87"/>
        <v>-3.2675735627449853E-3</v>
      </c>
      <c r="AK163" s="3"/>
      <c r="AL163" s="8"/>
      <c r="AW163" s="3"/>
      <c r="AY163" s="5"/>
      <c r="AZ163" s="28">
        <f t="shared" si="76"/>
        <v>44389</v>
      </c>
      <c r="BA163" s="3">
        <f t="shared" si="77"/>
        <v>158</v>
      </c>
      <c r="BB163" s="3">
        <f t="shared" si="71"/>
        <v>1.3638524354615678</v>
      </c>
      <c r="BC163" s="3">
        <f t="shared" si="72"/>
        <v>1.3465171476866924</v>
      </c>
      <c r="BD163" s="3">
        <f t="shared" si="73"/>
        <v>1.4943632062490226</v>
      </c>
      <c r="BE163" s="3">
        <f t="shared" si="74"/>
        <v>1.0084874311289527</v>
      </c>
      <c r="BG163" s="3">
        <f t="shared" si="75"/>
        <v>-4.4726736088756547E-3</v>
      </c>
      <c r="BH163" s="3">
        <f t="shared" si="88"/>
        <v>-2.5257749000834329E-3</v>
      </c>
      <c r="BI163" s="3">
        <f t="shared" si="89"/>
        <v>-8.3435471178353593E-3</v>
      </c>
      <c r="BJ163" s="3">
        <f t="shared" si="90"/>
        <v>-1.1967042066606988E-2</v>
      </c>
    </row>
    <row r="164" spans="1:62" x14ac:dyDescent="0.3">
      <c r="A164" s="27">
        <v>44392</v>
      </c>
      <c r="B164" s="3">
        <v>279.98077392578102</v>
      </c>
      <c r="C164" s="3">
        <v>148.04180908203099</v>
      </c>
      <c r="D164" s="3">
        <v>3631.19995117187</v>
      </c>
      <c r="E164" s="3">
        <v>2540.10009765625</v>
      </c>
      <c r="F164" s="3">
        <v>650.59997558593705</v>
      </c>
      <c r="G164" s="3">
        <v>2625.330078125</v>
      </c>
      <c r="H164" s="3">
        <v>344.45999145507801</v>
      </c>
      <c r="I164" s="3">
        <v>189.605865478515</v>
      </c>
      <c r="J164" s="3">
        <v>279.72000122070301</v>
      </c>
      <c r="K164" s="3">
        <v>154.52883911132801</v>
      </c>
      <c r="L164" s="3">
        <v>4360.02978515625</v>
      </c>
      <c r="N164" s="3">
        <f t="shared" si="70"/>
        <v>-9.9674593632315123E-4</v>
      </c>
      <c r="O164" s="3">
        <f t="shared" si="78"/>
        <v>-1.4175974136610314E-2</v>
      </c>
      <c r="P164" s="3">
        <f t="shared" si="79"/>
        <v>-1.5981305589138017E-2</v>
      </c>
      <c r="Q164" s="3">
        <f t="shared" si="80"/>
        <v>-2.7569458290610527E-4</v>
      </c>
      <c r="R164" s="3">
        <f t="shared" si="81"/>
        <v>-9.8547393162009556E-3</v>
      </c>
      <c r="S164" s="3">
        <f t="shared" si="82"/>
        <v>4.4011115788817889E-3</v>
      </c>
      <c r="T164" s="3">
        <f t="shared" si="83"/>
        <v>-9.6263624156875949E-3</v>
      </c>
      <c r="U164" s="3">
        <f t="shared" si="84"/>
        <v>-4.3384725407513258E-2</v>
      </c>
      <c r="V164" s="3">
        <f t="shared" si="85"/>
        <v>-6.5277924142197463E-3</v>
      </c>
      <c r="W164" s="3">
        <f t="shared" si="86"/>
        <v>-2.3100296709326784E-2</v>
      </c>
      <c r="X164" s="3">
        <f t="shared" si="87"/>
        <v>-7.5674150068127943E-3</v>
      </c>
      <c r="AK164" s="3"/>
      <c r="AL164" s="8"/>
      <c r="AW164" s="3"/>
      <c r="AY164" s="5"/>
      <c r="AZ164" s="28">
        <f t="shared" si="76"/>
        <v>44390</v>
      </c>
      <c r="BA164" s="3">
        <f t="shared" si="77"/>
        <v>159</v>
      </c>
      <c r="BB164" s="3">
        <f t="shared" si="71"/>
        <v>1.3577659901552361</v>
      </c>
      <c r="BC164" s="3">
        <f t="shared" si="72"/>
        <v>1.3431204399379064</v>
      </c>
      <c r="BD164" s="3">
        <f t="shared" si="73"/>
        <v>1.481946786946706</v>
      </c>
      <c r="BE164" s="3">
        <f t="shared" si="74"/>
        <v>0.99649074520971903</v>
      </c>
      <c r="BG164" s="3">
        <f t="shared" si="75"/>
        <v>-1.9097650062326332E-3</v>
      </c>
      <c r="BH164" s="3">
        <f t="shared" si="88"/>
        <v>3.8164772670051805E-4</v>
      </c>
      <c r="BI164" s="3">
        <f t="shared" si="89"/>
        <v>-4.4858156157664975E-3</v>
      </c>
      <c r="BJ164" s="3">
        <f t="shared" si="90"/>
        <v>-7.3105951953281222E-3</v>
      </c>
    </row>
    <row r="165" spans="1:62" x14ac:dyDescent="0.3">
      <c r="A165" s="27">
        <v>44393</v>
      </c>
      <c r="B165" s="3">
        <v>279.70184326171801</v>
      </c>
      <c r="C165" s="3">
        <v>145.95797729492099</v>
      </c>
      <c r="D165" s="3">
        <v>3573.6298828125</v>
      </c>
      <c r="E165" s="3">
        <v>2539.39990234375</v>
      </c>
      <c r="F165" s="3">
        <v>644.219970703125</v>
      </c>
      <c r="G165" s="3">
        <v>2636.90991210937</v>
      </c>
      <c r="H165" s="3">
        <v>341.16000366210898</v>
      </c>
      <c r="I165" s="3">
        <v>181.55575561523401</v>
      </c>
      <c r="J165" s="3">
        <v>277.89999389648398</v>
      </c>
      <c r="K165" s="3">
        <v>151.00009155273401</v>
      </c>
      <c r="L165" s="3">
        <v>4327.16015625</v>
      </c>
      <c r="N165" s="3">
        <f t="shared" si="70"/>
        <v>-1.3411011203478651E-2</v>
      </c>
      <c r="O165" s="3">
        <f t="shared" si="78"/>
        <v>-2.7283252509385569E-2</v>
      </c>
      <c r="P165" s="3">
        <f t="shared" si="79"/>
        <v>-6.749724503617216E-3</v>
      </c>
      <c r="Q165" s="3">
        <f t="shared" si="80"/>
        <v>-1.9018750352488567E-2</v>
      </c>
      <c r="R165" s="3">
        <f t="shared" si="81"/>
        <v>3.099720548324747E-3</v>
      </c>
      <c r="S165" s="3">
        <f t="shared" si="82"/>
        <v>-1.985125828631773E-2</v>
      </c>
      <c r="T165" s="3">
        <f t="shared" si="83"/>
        <v>-1.2416998564949822E-2</v>
      </c>
      <c r="U165" s="3">
        <f t="shared" si="84"/>
        <v>3.3502652269591593E-2</v>
      </c>
      <c r="V165" s="3">
        <f t="shared" si="85"/>
        <v>-1.9035703596435027E-2</v>
      </c>
      <c r="W165" s="3">
        <f t="shared" si="86"/>
        <v>-3.3059791454997267E-2</v>
      </c>
      <c r="X165" s="3">
        <f t="shared" si="87"/>
        <v>-1.5996781399984172E-2</v>
      </c>
      <c r="AK165" s="3"/>
      <c r="AL165" s="8"/>
      <c r="AW165" s="3"/>
      <c r="AY165" s="5"/>
      <c r="AZ165" s="28">
        <f t="shared" si="76"/>
        <v>44391</v>
      </c>
      <c r="BA165" s="3">
        <f t="shared" si="77"/>
        <v>160</v>
      </c>
      <c r="BB165" s="3">
        <f t="shared" si="71"/>
        <v>1.3551754506288041</v>
      </c>
      <c r="BC165" s="3">
        <f t="shared" si="72"/>
        <v>1.3436331366290339</v>
      </c>
      <c r="BD165" s="3">
        <f t="shared" si="73"/>
        <v>1.4753139349061988</v>
      </c>
      <c r="BE165" s="3">
        <f t="shared" si="74"/>
        <v>0.98923236860899777</v>
      </c>
      <c r="BG165" s="3">
        <f t="shared" si="75"/>
        <v>-9.4730392801461449E-3</v>
      </c>
      <c r="BH165" s="3">
        <f t="shared" si="88"/>
        <v>-7.1080001446835461E-3</v>
      </c>
      <c r="BI165" s="3">
        <f t="shared" si="89"/>
        <v>-1.0922745291263247E-2</v>
      </c>
      <c r="BJ165" s="3">
        <f t="shared" si="90"/>
        <v>-1.4956378306175621E-2</v>
      </c>
    </row>
    <row r="166" spans="1:62" x14ac:dyDescent="0.3">
      <c r="A166" s="27">
        <v>44396</v>
      </c>
      <c r="B166" s="3">
        <v>275.97579956054602</v>
      </c>
      <c r="C166" s="3">
        <v>142.02960205078099</v>
      </c>
      <c r="D166" s="3">
        <v>3549.59008789062</v>
      </c>
      <c r="E166" s="3">
        <v>2491.56005859375</v>
      </c>
      <c r="F166" s="3">
        <v>646.219970703125</v>
      </c>
      <c r="G166" s="3">
        <v>2585.080078125</v>
      </c>
      <c r="H166" s="3">
        <v>336.95001220703102</v>
      </c>
      <c r="I166" s="3">
        <v>187.74139404296801</v>
      </c>
      <c r="J166" s="3">
        <v>272.66000366210898</v>
      </c>
      <c r="K166" s="3">
        <v>146.08967590332</v>
      </c>
      <c r="L166" s="3">
        <v>4258.490234375</v>
      </c>
      <c r="N166" s="3">
        <f t="shared" si="70"/>
        <v>8.3044186499954264E-3</v>
      </c>
      <c r="O166" s="3">
        <f t="shared" si="78"/>
        <v>2.5642474130848747E-2</v>
      </c>
      <c r="P166" s="3">
        <f t="shared" si="79"/>
        <v>6.6266092110467412E-3</v>
      </c>
      <c r="Q166" s="3">
        <f t="shared" si="80"/>
        <v>1.3011152125799619E-2</v>
      </c>
      <c r="R166" s="3">
        <f t="shared" si="81"/>
        <v>2.1857166216463497E-2</v>
      </c>
      <c r="S166" s="3">
        <f t="shared" si="82"/>
        <v>1.4192352618354498E-2</v>
      </c>
      <c r="T166" s="3">
        <f t="shared" si="83"/>
        <v>1.3881513617243435E-2</v>
      </c>
      <c r="U166" s="3">
        <f t="shared" si="84"/>
        <v>-8.9726444393178895E-3</v>
      </c>
      <c r="V166" s="3">
        <f t="shared" si="85"/>
        <v>1.5394757118586178E-2</v>
      </c>
      <c r="W166" s="3">
        <f t="shared" si="86"/>
        <v>1.8471701951766839E-2</v>
      </c>
      <c r="X166" s="3">
        <f t="shared" si="87"/>
        <v>1.5048806004799076E-2</v>
      </c>
      <c r="AK166" s="3"/>
      <c r="AL166" s="8"/>
      <c r="AW166" s="3"/>
      <c r="AY166" s="5"/>
      <c r="AZ166" s="28">
        <f t="shared" si="76"/>
        <v>44392</v>
      </c>
      <c r="BA166" s="3">
        <f t="shared" si="77"/>
        <v>161</v>
      </c>
      <c r="BB166" s="3">
        <f t="shared" si="71"/>
        <v>1.3423984344904059</v>
      </c>
      <c r="BC166" s="3">
        <f t="shared" si="72"/>
        <v>1.3341164544567077</v>
      </c>
      <c r="BD166" s="3">
        <f t="shared" si="73"/>
        <v>1.4592871441881863</v>
      </c>
      <c r="BE166" s="3">
        <f t="shared" si="74"/>
        <v>0.97454712782777309</v>
      </c>
      <c r="BG166" s="3">
        <f t="shared" si="75"/>
        <v>-1.1837855962688826E-2</v>
      </c>
      <c r="BH166" s="3">
        <f t="shared" si="88"/>
        <v>-1.0070897146532254E-2</v>
      </c>
      <c r="BI166" s="3">
        <f t="shared" si="89"/>
        <v>-2.1318761958402821E-2</v>
      </c>
      <c r="BJ166" s="3">
        <f t="shared" si="90"/>
        <v>-3.2226860073961847E-2</v>
      </c>
    </row>
    <row r="167" spans="1:62" x14ac:dyDescent="0.3">
      <c r="A167" s="27">
        <v>44397</v>
      </c>
      <c r="B167" s="3">
        <v>278.27716064453102</v>
      </c>
      <c r="C167" s="3">
        <v>145.71868896484301</v>
      </c>
      <c r="D167" s="3">
        <v>3573.18994140625</v>
      </c>
      <c r="E167" s="3">
        <v>2524.18994140625</v>
      </c>
      <c r="F167" s="3">
        <v>660.5</v>
      </c>
      <c r="G167" s="3">
        <v>2622.03002929687</v>
      </c>
      <c r="H167" s="3">
        <v>341.66000366210898</v>
      </c>
      <c r="I167" s="3">
        <v>186.06439208984301</v>
      </c>
      <c r="J167" s="3">
        <v>276.89001464843699</v>
      </c>
      <c r="K167" s="3">
        <v>148.81327819824199</v>
      </c>
      <c r="L167" s="3">
        <v>4323.06005859375</v>
      </c>
      <c r="N167" s="3">
        <f t="shared" si="70"/>
        <v>7.4190694616449449E-3</v>
      </c>
      <c r="O167" s="3">
        <f t="shared" si="78"/>
        <v>-5.1450375094326262E-3</v>
      </c>
      <c r="P167" s="3">
        <f t="shared" si="79"/>
        <v>3.3555090501291573E-3</v>
      </c>
      <c r="Q167" s="3">
        <f t="shared" si="80"/>
        <v>1.0557395439411366E-2</v>
      </c>
      <c r="R167" s="3">
        <f t="shared" si="81"/>
        <v>-7.9192717507368116E-3</v>
      </c>
      <c r="S167" s="3">
        <f t="shared" si="82"/>
        <v>1.1369008640913947E-2</v>
      </c>
      <c r="T167" s="3">
        <f t="shared" si="83"/>
        <v>1.3287224594234814E-2</v>
      </c>
      <c r="U167" s="3">
        <f t="shared" si="84"/>
        <v>4.1981939654918143E-2</v>
      </c>
      <c r="V167" s="3">
        <f t="shared" si="85"/>
        <v>1.0740589016172031E-2</v>
      </c>
      <c r="W167" s="3">
        <f t="shared" si="86"/>
        <v>2.0822290910271768E-2</v>
      </c>
      <c r="X167" s="3">
        <f t="shared" si="87"/>
        <v>8.208041662143728E-3</v>
      </c>
      <c r="AK167" s="3"/>
      <c r="AL167" s="8"/>
      <c r="AW167" s="3"/>
      <c r="AY167" s="5"/>
      <c r="AZ167" s="28">
        <f t="shared" si="76"/>
        <v>44393</v>
      </c>
      <c r="BA167" s="3">
        <f t="shared" si="77"/>
        <v>162</v>
      </c>
      <c r="BB167" s="3">
        <f t="shared" si="71"/>
        <v>1.3266010035150357</v>
      </c>
      <c r="BC167" s="3">
        <f t="shared" si="72"/>
        <v>1.3207481333435649</v>
      </c>
      <c r="BD167" s="3">
        <f t="shared" si="73"/>
        <v>1.4285062203187109</v>
      </c>
      <c r="BE167" s="3">
        <f t="shared" si="74"/>
        <v>0.94364120904878068</v>
      </c>
      <c r="BG167" s="3">
        <f t="shared" si="75"/>
        <v>-1.1205809862086025E-2</v>
      </c>
      <c r="BH167" s="3">
        <f t="shared" si="88"/>
        <v>-1.4701251597909082E-2</v>
      </c>
      <c r="BI167" s="3">
        <f t="shared" si="89"/>
        <v>-8.0044560238982654E-3</v>
      </c>
      <c r="BJ167" s="3">
        <f t="shared" si="90"/>
        <v>-1.6687370680899052E-3</v>
      </c>
    </row>
    <row r="168" spans="1:62" x14ac:dyDescent="0.3">
      <c r="A168" s="27">
        <v>44398</v>
      </c>
      <c r="B168" s="3">
        <v>280.34939575195301</v>
      </c>
      <c r="C168" s="3">
        <v>144.97088623046801</v>
      </c>
      <c r="D168" s="3">
        <v>3585.19995117187</v>
      </c>
      <c r="E168" s="3">
        <v>2550.97998046875</v>
      </c>
      <c r="F168" s="3">
        <v>655.28997802734295</v>
      </c>
      <c r="G168" s="3">
        <v>2652.01000976562</v>
      </c>
      <c r="H168" s="3">
        <v>346.23001098632801</v>
      </c>
      <c r="I168" s="3">
        <v>194.04202270507801</v>
      </c>
      <c r="J168" s="3">
        <v>279.88000488281199</v>
      </c>
      <c r="K168" s="3">
        <v>151.94439697265599</v>
      </c>
      <c r="L168" s="3">
        <v>4358.68994140625</v>
      </c>
      <c r="N168" s="3">
        <f t="shared" si="70"/>
        <v>1.6704117551293862E-2</v>
      </c>
      <c r="O168" s="3">
        <f t="shared" si="78"/>
        <v>9.5825906588578036E-3</v>
      </c>
      <c r="P168" s="3">
        <f t="shared" si="79"/>
        <v>1.4628087522339683E-2</v>
      </c>
      <c r="Q168" s="3">
        <f t="shared" si="80"/>
        <v>6.8171992680614579E-3</v>
      </c>
      <c r="R168" s="3">
        <f t="shared" si="81"/>
        <v>-9.2445843588686571E-3</v>
      </c>
      <c r="S168" s="3">
        <f t="shared" si="82"/>
        <v>5.4751812524536092E-3</v>
      </c>
      <c r="T168" s="3">
        <f t="shared" si="83"/>
        <v>1.4224068671561341E-2</v>
      </c>
      <c r="U168" s="3">
        <f t="shared" si="84"/>
        <v>9.4349825164643519E-3</v>
      </c>
      <c r="V168" s="3">
        <f t="shared" si="85"/>
        <v>-7.8195190534149361E-3</v>
      </c>
      <c r="W168" s="3">
        <f t="shared" si="86"/>
        <v>-1.270633073582772E-2</v>
      </c>
      <c r="X168" s="3">
        <f t="shared" si="87"/>
        <v>2.01463920924283E-3</v>
      </c>
      <c r="AK168" s="3"/>
      <c r="AL168" s="8"/>
      <c r="AW168" s="3"/>
      <c r="AY168" s="5"/>
      <c r="AZ168" s="28">
        <f t="shared" si="76"/>
        <v>44396</v>
      </c>
      <c r="BA168" s="3">
        <f t="shared" si="77"/>
        <v>163</v>
      </c>
      <c r="BB168" s="3">
        <f t="shared" si="71"/>
        <v>1.3118183454228021</v>
      </c>
      <c r="BC168" s="3">
        <f t="shared" si="72"/>
        <v>1.3014735104239388</v>
      </c>
      <c r="BD168" s="3">
        <f t="shared" si="73"/>
        <v>1.4171174463761458</v>
      </c>
      <c r="BE168" s="3">
        <f t="shared" si="74"/>
        <v>0.94206783312473985</v>
      </c>
      <c r="BG168" s="3">
        <f t="shared" si="75"/>
        <v>1.2656309931335763E-2</v>
      </c>
      <c r="BH168" s="3">
        <f t="shared" si="88"/>
        <v>1.3151713526139253E-2</v>
      </c>
      <c r="BI168" s="3">
        <f t="shared" si="89"/>
        <v>1.1307426200327153E-2</v>
      </c>
      <c r="BJ168" s="3">
        <f t="shared" si="90"/>
        <v>8.5352606526375996E-3</v>
      </c>
    </row>
    <row r="169" spans="1:62" x14ac:dyDescent="0.3">
      <c r="A169" s="27">
        <v>44399</v>
      </c>
      <c r="B169" s="3">
        <v>285.07171630859301</v>
      </c>
      <c r="C169" s="3">
        <v>146.36676025390599</v>
      </c>
      <c r="D169" s="3">
        <v>3638.03002929687</v>
      </c>
      <c r="E169" s="3">
        <v>2568.42993164062</v>
      </c>
      <c r="F169" s="3">
        <v>649.260009765625</v>
      </c>
      <c r="G169" s="3">
        <v>2666.57006835937</v>
      </c>
      <c r="H169" s="3">
        <v>351.19000244140602</v>
      </c>
      <c r="I169" s="3">
        <v>195.88146972656199</v>
      </c>
      <c r="J169" s="3">
        <v>277.70001220703102</v>
      </c>
      <c r="K169" s="3">
        <v>150.025955200195</v>
      </c>
      <c r="L169" s="3">
        <v>4367.47998046875</v>
      </c>
      <c r="N169" s="3">
        <f t="shared" si="70"/>
        <v>1.2261122353553588E-2</v>
      </c>
      <c r="O169" s="3">
        <f t="shared" si="78"/>
        <v>1.1917805411300719E-2</v>
      </c>
      <c r="P169" s="3">
        <f t="shared" si="79"/>
        <v>5.1023291949530147E-3</v>
      </c>
      <c r="Q169" s="3">
        <f t="shared" si="80"/>
        <v>3.5144126065543624E-2</v>
      </c>
      <c r="R169" s="3">
        <f t="shared" si="81"/>
        <v>-9.0977308033526327E-3</v>
      </c>
      <c r="S169" s="3">
        <f t="shared" si="82"/>
        <v>3.3103453526505788E-2</v>
      </c>
      <c r="T169" s="3">
        <f t="shared" si="83"/>
        <v>5.1607905547472299E-2</v>
      </c>
      <c r="U169" s="3">
        <f t="shared" si="84"/>
        <v>-1.838993867067984E-3</v>
      </c>
      <c r="V169" s="3">
        <f t="shared" si="85"/>
        <v>2.840678743237568E-3</v>
      </c>
      <c r="W169" s="3">
        <f t="shared" si="86"/>
        <v>-1.9232076115001107E-3</v>
      </c>
      <c r="X169" s="3">
        <f t="shared" si="87"/>
        <v>1.00943323862559E-2</v>
      </c>
      <c r="AK169" s="3"/>
      <c r="AL169" s="8"/>
      <c r="AW169" s="3"/>
      <c r="AY169" s="5"/>
      <c r="AZ169" s="28">
        <f t="shared" si="76"/>
        <v>44397</v>
      </c>
      <c r="BA169" s="3">
        <f t="shared" si="77"/>
        <v>164</v>
      </c>
      <c r="BB169" s="3">
        <f t="shared" si="71"/>
        <v>1.3285266345888846</v>
      </c>
      <c r="BC169" s="3">
        <f t="shared" si="72"/>
        <v>1.3187031686122583</v>
      </c>
      <c r="BD169" s="3">
        <f t="shared" si="73"/>
        <v>1.433232334571809</v>
      </c>
      <c r="BE169" s="3">
        <f t="shared" si="74"/>
        <v>0.95014304060964583</v>
      </c>
      <c r="BG169" s="3">
        <f t="shared" si="75"/>
        <v>1.1119378526612378E-2</v>
      </c>
      <c r="BH169" s="3">
        <f t="shared" si="88"/>
        <v>1.0829360044374181E-2</v>
      </c>
      <c r="BI169" s="3">
        <f t="shared" si="89"/>
        <v>1.5237697453396593E-2</v>
      </c>
      <c r="BJ169" s="3">
        <f t="shared" si="90"/>
        <v>1.9763577281734612E-2</v>
      </c>
    </row>
    <row r="170" spans="1:62" x14ac:dyDescent="0.3">
      <c r="A170" s="27">
        <v>44400</v>
      </c>
      <c r="B170" s="3">
        <v>288.58853149414</v>
      </c>
      <c r="C170" s="3">
        <v>148.12156677246</v>
      </c>
      <c r="D170" s="3">
        <v>3656.63989257812</v>
      </c>
      <c r="E170" s="3">
        <v>2660.30004882812</v>
      </c>
      <c r="F170" s="3">
        <v>643.38000488281205</v>
      </c>
      <c r="G170" s="3">
        <v>2756.32006835937</v>
      </c>
      <c r="H170" s="3">
        <v>369.79000854492102</v>
      </c>
      <c r="I170" s="3">
        <v>195.52157592773401</v>
      </c>
      <c r="J170" s="3">
        <v>278.489990234375</v>
      </c>
      <c r="K170" s="3">
        <v>149.737701416015</v>
      </c>
      <c r="L170" s="3">
        <v>4411.7900390625</v>
      </c>
      <c r="N170" s="3">
        <f t="shared" si="70"/>
        <v>-2.1427335381902779E-3</v>
      </c>
      <c r="O170" s="3">
        <f t="shared" si="78"/>
        <v>2.8903431008240332E-3</v>
      </c>
      <c r="P170" s="3">
        <f t="shared" si="79"/>
        <v>1.1739524695547843E-2</v>
      </c>
      <c r="Q170" s="3">
        <f t="shared" si="80"/>
        <v>7.6390194892459462E-3</v>
      </c>
      <c r="R170" s="3">
        <f t="shared" si="81"/>
        <v>2.189171243039123E-2</v>
      </c>
      <c r="S170" s="3">
        <f t="shared" si="82"/>
        <v>1.3180382033237237E-2</v>
      </c>
      <c r="T170" s="3">
        <f t="shared" si="83"/>
        <v>7.1943265107510257E-3</v>
      </c>
      <c r="U170" s="3">
        <f t="shared" si="84"/>
        <v>-1.3590214932892586E-2</v>
      </c>
      <c r="V170" s="3">
        <f t="shared" si="85"/>
        <v>1.1125180885684927E-3</v>
      </c>
      <c r="W170" s="3">
        <f t="shared" si="86"/>
        <v>6.6822597827300712E-3</v>
      </c>
      <c r="X170" s="3">
        <f t="shared" si="87"/>
        <v>2.37936692272811E-3</v>
      </c>
      <c r="AK170" s="3"/>
      <c r="AL170" s="8"/>
      <c r="AW170" s="3"/>
      <c r="AY170" s="5"/>
      <c r="AZ170" s="28">
        <f t="shared" si="76"/>
        <v>44398</v>
      </c>
      <c r="BA170" s="3">
        <f t="shared" si="77"/>
        <v>165</v>
      </c>
      <c r="BB170" s="3">
        <f t="shared" si="71"/>
        <v>1.3433814602818566</v>
      </c>
      <c r="BC170" s="3">
        <f t="shared" si="72"/>
        <v>1.3330614853853957</v>
      </c>
      <c r="BD170" s="3">
        <f t="shared" si="73"/>
        <v>1.455238732887127</v>
      </c>
      <c r="BE170" s="3">
        <f t="shared" si="74"/>
        <v>0.96910805699930624</v>
      </c>
      <c r="BG170" s="3">
        <f t="shared" si="75"/>
        <v>4.71077792221547E-3</v>
      </c>
      <c r="BH170" s="3">
        <f t="shared" si="88"/>
        <v>4.5122259342092463E-3</v>
      </c>
      <c r="BI170" s="3">
        <f t="shared" si="89"/>
        <v>4.2258686979940174E-4</v>
      </c>
      <c r="BJ170" s="3">
        <f t="shared" si="90"/>
        <v>-1.7174920932818763E-3</v>
      </c>
    </row>
    <row r="171" spans="1:62" x14ac:dyDescent="0.3">
      <c r="A171" s="27">
        <v>44403</v>
      </c>
      <c r="B171" s="3">
        <v>287.97082519531199</v>
      </c>
      <c r="C171" s="3">
        <v>148.55030822753901</v>
      </c>
      <c r="D171" s="3">
        <v>3699.82006835937</v>
      </c>
      <c r="E171" s="3">
        <v>2680.69995117187</v>
      </c>
      <c r="F171" s="3">
        <v>657.61999511718705</v>
      </c>
      <c r="G171" s="3">
        <v>2792.88989257812</v>
      </c>
      <c r="H171" s="3">
        <v>372.45999145507801</v>
      </c>
      <c r="I171" s="3">
        <v>192.88236999511699</v>
      </c>
      <c r="J171" s="3">
        <v>278.79998779296801</v>
      </c>
      <c r="K171" s="3">
        <v>150.74163818359301</v>
      </c>
      <c r="L171" s="3">
        <v>4422.2998046875</v>
      </c>
      <c r="N171" s="3">
        <f t="shared" si="70"/>
        <v>-8.7214762373397647E-3</v>
      </c>
      <c r="O171" s="3">
        <f t="shared" si="78"/>
        <v>-1.5012500117707717E-2</v>
      </c>
      <c r="P171" s="3">
        <f t="shared" si="79"/>
        <v>-2.0046554831816721E-2</v>
      </c>
      <c r="Q171" s="3">
        <f t="shared" si="80"/>
        <v>-1.6056881937577039E-2</v>
      </c>
      <c r="R171" s="3">
        <f t="shared" si="81"/>
        <v>-1.9718030701161737E-2</v>
      </c>
      <c r="S171" s="3">
        <f t="shared" si="82"/>
        <v>-2.060547389822176E-2</v>
      </c>
      <c r="T171" s="3">
        <f t="shared" si="83"/>
        <v>-1.2563132709073166E-2</v>
      </c>
      <c r="U171" s="3">
        <f t="shared" si="84"/>
        <v>-4.4672978707342992E-3</v>
      </c>
      <c r="V171" s="3">
        <f t="shared" si="85"/>
        <v>7.076805094080818E-3</v>
      </c>
      <c r="W171" s="3">
        <f t="shared" si="86"/>
        <v>-1.3196267497441738E-3</v>
      </c>
      <c r="X171" s="3">
        <f t="shared" si="87"/>
        <v>-4.7235833821765993E-3</v>
      </c>
      <c r="AK171" s="3"/>
      <c r="AL171" s="8"/>
      <c r="AW171" s="3"/>
      <c r="AY171" s="5"/>
      <c r="AZ171" s="28">
        <f t="shared" si="76"/>
        <v>44399</v>
      </c>
      <c r="BA171" s="3">
        <f t="shared" si="77"/>
        <v>166</v>
      </c>
      <c r="BB171" s="3">
        <f t="shared" si="71"/>
        <v>1.3497247612164929</v>
      </c>
      <c r="BC171" s="3">
        <f t="shared" si="72"/>
        <v>1.3390901511138469</v>
      </c>
      <c r="BD171" s="3">
        <f t="shared" si="73"/>
        <v>1.4558538276243949</v>
      </c>
      <c r="BE171" s="3">
        <f t="shared" si="74"/>
        <v>0.96744505008328074</v>
      </c>
      <c r="BG171" s="3">
        <f t="shared" si="75"/>
        <v>1.4521882093168181E-2</v>
      </c>
      <c r="BH171" s="3">
        <f t="shared" si="88"/>
        <v>1.5218390817595462E-2</v>
      </c>
      <c r="BI171" s="3">
        <f t="shared" si="89"/>
        <v>-1.2508703679819932E-3</v>
      </c>
      <c r="BJ171" s="3">
        <f t="shared" si="90"/>
        <v>-1.7519135215432677E-2</v>
      </c>
    </row>
    <row r="172" spans="1:62" x14ac:dyDescent="0.3">
      <c r="A172" s="27">
        <v>44404</v>
      </c>
      <c r="B172" s="3">
        <v>285.47021484375</v>
      </c>
      <c r="C172" s="3">
        <v>146.33685302734301</v>
      </c>
      <c r="D172" s="3">
        <v>3626.38989257812</v>
      </c>
      <c r="E172" s="3">
        <v>2638</v>
      </c>
      <c r="F172" s="3">
        <v>644.780029296875</v>
      </c>
      <c r="G172" s="3">
        <v>2735.92993164062</v>
      </c>
      <c r="H172" s="3">
        <v>367.80999755859301</v>
      </c>
      <c r="I172" s="3">
        <v>192.02262878417901</v>
      </c>
      <c r="J172" s="3">
        <v>280.77999877929602</v>
      </c>
      <c r="K172" s="3">
        <v>150.54284667968699</v>
      </c>
      <c r="L172" s="3">
        <v>4401.4599609375</v>
      </c>
      <c r="N172" s="3">
        <f t="shared" si="70"/>
        <v>-1.1174381230416586E-3</v>
      </c>
      <c r="O172" s="3">
        <f t="shared" si="78"/>
        <v>-1.2271014302370098E-2</v>
      </c>
      <c r="P172" s="3">
        <f t="shared" si="79"/>
        <v>1.083184028761508E-3</v>
      </c>
      <c r="Q172" s="3">
        <f t="shared" si="80"/>
        <v>3.1301720677038958E-2</v>
      </c>
      <c r="R172" s="3">
        <f t="shared" si="81"/>
        <v>3.4061331550478968E-3</v>
      </c>
      <c r="S172" s="3">
        <f t="shared" si="82"/>
        <v>-3.0383323309814969E-3</v>
      </c>
      <c r="T172" s="3">
        <f t="shared" si="83"/>
        <v>1.4762311150475327E-2</v>
      </c>
      <c r="U172" s="3">
        <f t="shared" si="84"/>
        <v>1.52413270954046E-2</v>
      </c>
      <c r="V172" s="3">
        <f t="shared" si="85"/>
        <v>-9.590657009145076E-3</v>
      </c>
      <c r="W172" s="3">
        <f t="shared" si="86"/>
        <v>1.6493627119587018E-3</v>
      </c>
      <c r="X172" s="3">
        <f t="shared" si="87"/>
        <v>-1.8627923155278836E-4</v>
      </c>
      <c r="AK172" s="3"/>
      <c r="AL172" s="8"/>
      <c r="AW172" s="3"/>
      <c r="AY172" s="5"/>
      <c r="AZ172" s="28">
        <f t="shared" si="76"/>
        <v>44400</v>
      </c>
      <c r="BA172" s="3">
        <f t="shared" si="77"/>
        <v>167</v>
      </c>
      <c r="BB172" s="3">
        <f t="shared" si="71"/>
        <v>1.3694683148690754</v>
      </c>
      <c r="BC172" s="3">
        <f t="shared" si="72"/>
        <v>1.3596248042455397</v>
      </c>
      <c r="BD172" s="3">
        <f t="shared" si="73"/>
        <v>1.4540338817068184</v>
      </c>
      <c r="BE172" s="3">
        <f t="shared" si="74"/>
        <v>0.95064385039852406</v>
      </c>
      <c r="BG172" s="3">
        <f t="shared" si="75"/>
        <v>5.5727568544580719E-3</v>
      </c>
      <c r="BH172" s="3">
        <f t="shared" si="88"/>
        <v>5.1403847843720651E-3</v>
      </c>
      <c r="BI172" s="3">
        <f t="shared" si="89"/>
        <v>6.4130628475500551E-4</v>
      </c>
      <c r="BJ172" s="3">
        <f t="shared" si="90"/>
        <v>-5.3405577881661531E-3</v>
      </c>
    </row>
    <row r="173" spans="1:62" x14ac:dyDescent="0.3">
      <c r="A173" s="27">
        <v>44405</v>
      </c>
      <c r="B173" s="3">
        <v>285.15139770507801</v>
      </c>
      <c r="C173" s="3">
        <v>144.55212402343699</v>
      </c>
      <c r="D173" s="3">
        <v>3630.32006835937</v>
      </c>
      <c r="E173" s="3">
        <v>2721.8798828125</v>
      </c>
      <c r="F173" s="3">
        <v>646.97998046875</v>
      </c>
      <c r="G173" s="3">
        <v>2727.6298828125</v>
      </c>
      <c r="H173" s="3">
        <v>373.27999877929602</v>
      </c>
      <c r="I173" s="3">
        <v>194.97172546386699</v>
      </c>
      <c r="J173" s="3">
        <v>278.100006103515</v>
      </c>
      <c r="K173" s="3">
        <v>150.79135131835901</v>
      </c>
      <c r="L173" s="3">
        <v>4400.64013671875</v>
      </c>
      <c r="N173" s="3">
        <f t="shared" si="70"/>
        <v>9.7792017815834242E-4</v>
      </c>
      <c r="O173" s="3">
        <f t="shared" si="78"/>
        <v>4.5421153533720116E-3</v>
      </c>
      <c r="P173" s="3">
        <f t="shared" si="79"/>
        <v>-8.4092162004409943E-3</v>
      </c>
      <c r="Q173" s="3">
        <f t="shared" si="80"/>
        <v>-2.328245852661226E-3</v>
      </c>
      <c r="R173" s="3">
        <f t="shared" si="81"/>
        <v>4.5872738049547834E-2</v>
      </c>
      <c r="S173" s="3">
        <f t="shared" si="82"/>
        <v>1.1652326214868225E-3</v>
      </c>
      <c r="T173" s="3">
        <f t="shared" si="83"/>
        <v>-4.0902342663426516E-2</v>
      </c>
      <c r="U173" s="3">
        <f t="shared" si="84"/>
        <v>8.1196085630539372E-3</v>
      </c>
      <c r="V173" s="3">
        <f t="shared" si="85"/>
        <v>5.9513444751582156E-3</v>
      </c>
      <c r="W173" s="3">
        <f t="shared" si="86"/>
        <v>8.5329858311462559E-3</v>
      </c>
      <c r="X173" s="3">
        <f t="shared" si="87"/>
        <v>4.1973318452726005E-3</v>
      </c>
      <c r="AK173" s="3"/>
      <c r="AL173" s="8"/>
      <c r="AW173" s="3"/>
      <c r="AY173" s="5"/>
      <c r="AZ173" s="28">
        <f t="shared" si="76"/>
        <v>44403</v>
      </c>
      <c r="BA173" s="3">
        <f t="shared" si="77"/>
        <v>168</v>
      </c>
      <c r="BB173" s="3">
        <f t="shared" si="71"/>
        <v>1.3771213332071675</v>
      </c>
      <c r="BC173" s="3">
        <f t="shared" si="72"/>
        <v>1.3666317927812424</v>
      </c>
      <c r="BD173" s="3">
        <f t="shared" si="73"/>
        <v>1.4549666618403156</v>
      </c>
      <c r="BE173" s="3">
        <f t="shared" si="74"/>
        <v>0.94558041479946775</v>
      </c>
      <c r="BG173" s="3">
        <f t="shared" si="75"/>
        <v>-1.1322283279636691E-2</v>
      </c>
      <c r="BH173" s="3">
        <f t="shared" si="88"/>
        <v>-9.9885242301820387E-3</v>
      </c>
      <c r="BI173" s="3">
        <f t="shared" si="89"/>
        <v>-4.4937707175992658E-3</v>
      </c>
      <c r="BJ173" s="3">
        <f t="shared" si="90"/>
        <v>1.6451864646627318E-3</v>
      </c>
    </row>
    <row r="174" spans="1:62" x14ac:dyDescent="0.3">
      <c r="A174" s="27">
        <v>44406</v>
      </c>
      <c r="B174" s="3">
        <v>285.43038940429602</v>
      </c>
      <c r="C174" s="3">
        <v>145.210189819335</v>
      </c>
      <c r="D174" s="3">
        <v>3599.919921875</v>
      </c>
      <c r="E174" s="3">
        <v>2715.55004882812</v>
      </c>
      <c r="F174" s="3">
        <v>677.34997558593705</v>
      </c>
      <c r="G174" s="3">
        <v>2730.81005859375</v>
      </c>
      <c r="H174" s="3">
        <v>358.32000732421801</v>
      </c>
      <c r="I174" s="3">
        <v>196.561264038085</v>
      </c>
      <c r="J174" s="3">
        <v>279.760009765625</v>
      </c>
      <c r="K174" s="3">
        <v>152.08355712890599</v>
      </c>
      <c r="L174" s="3">
        <v>4419.14990234375</v>
      </c>
      <c r="N174" s="3">
        <f t="shared" si="70"/>
        <v>-5.5652374607921828E-3</v>
      </c>
      <c r="O174" s="3">
        <f t="shared" si="78"/>
        <v>1.5093954181297775E-3</v>
      </c>
      <c r="P174" s="3">
        <f t="shared" si="79"/>
        <v>-7.866325662416962E-2</v>
      </c>
      <c r="Q174" s="3">
        <f t="shared" si="80"/>
        <v>-7.7707261262904836E-3</v>
      </c>
      <c r="R174" s="3">
        <f t="shared" si="81"/>
        <v>1.4437298450231673E-2</v>
      </c>
      <c r="S174" s="3">
        <f t="shared" si="82"/>
        <v>-9.7108472675362378E-3</v>
      </c>
      <c r="T174" s="3">
        <f t="shared" si="83"/>
        <v>-5.6534239882379822E-3</v>
      </c>
      <c r="U174" s="3">
        <f t="shared" si="84"/>
        <v>-8.3245965660267984E-3</v>
      </c>
      <c r="V174" s="3">
        <f t="shared" si="85"/>
        <v>-5.2683615179178744E-3</v>
      </c>
      <c r="W174" s="3">
        <f t="shared" si="86"/>
        <v>-8.0058163854559439E-3</v>
      </c>
      <c r="X174" s="3">
        <f t="shared" si="87"/>
        <v>-5.4207136082613516E-3</v>
      </c>
      <c r="AK174" s="3"/>
      <c r="AL174" s="8"/>
      <c r="AW174" s="3"/>
      <c r="AY174" s="5"/>
      <c r="AZ174" s="28">
        <f t="shared" si="76"/>
        <v>44404</v>
      </c>
      <c r="BA174" s="3">
        <f t="shared" si="77"/>
        <v>169</v>
      </c>
      <c r="BB174" s="3">
        <f t="shared" si="71"/>
        <v>1.3616171125799292</v>
      </c>
      <c r="BC174" s="3">
        <f t="shared" si="72"/>
        <v>1.3530491064304009</v>
      </c>
      <c r="BD174" s="3">
        <f t="shared" si="73"/>
        <v>1.4484430440596765</v>
      </c>
      <c r="BE174" s="3">
        <f t="shared" si="74"/>
        <v>0.94713735127338061</v>
      </c>
      <c r="BG174" s="3">
        <f t="shared" si="75"/>
        <v>4.8158838448720265E-3</v>
      </c>
      <c r="BH174" s="3">
        <f t="shared" si="88"/>
        <v>3.3236467281694826E-3</v>
      </c>
      <c r="BI174" s="3">
        <f t="shared" si="89"/>
        <v>-1.2876321718270911E-3</v>
      </c>
      <c r="BJ174" s="3">
        <f t="shared" si="90"/>
        <v>-7.1539055858498429E-3</v>
      </c>
    </row>
    <row r="175" spans="1:62" x14ac:dyDescent="0.3">
      <c r="A175" s="27">
        <v>44407</v>
      </c>
      <c r="B175" s="3">
        <v>283.84631347656199</v>
      </c>
      <c r="C175" s="3">
        <v>145.42953491210901</v>
      </c>
      <c r="D175" s="3">
        <v>3327.59008789062</v>
      </c>
      <c r="E175" s="3">
        <v>2694.53002929687</v>
      </c>
      <c r="F175" s="3">
        <v>687.20001220703102</v>
      </c>
      <c r="G175" s="3">
        <v>2704.419921875</v>
      </c>
      <c r="H175" s="3">
        <v>356.29998779296801</v>
      </c>
      <c r="I175" s="3">
        <v>194.93176269531199</v>
      </c>
      <c r="J175" s="3">
        <v>278.29000854492102</v>
      </c>
      <c r="K175" s="3">
        <v>150.87086486816401</v>
      </c>
      <c r="L175" s="3">
        <v>4395.259765625</v>
      </c>
      <c r="N175" s="3">
        <f t="shared" si="70"/>
        <v>-3.1592733159868658E-4</v>
      </c>
      <c r="O175" s="3">
        <f t="shared" si="78"/>
        <v>-2.3335676789297821E-3</v>
      </c>
      <c r="P175" s="3">
        <f t="shared" si="79"/>
        <v>1.1682991711001733E-3</v>
      </c>
      <c r="Q175" s="3">
        <f t="shared" si="80"/>
        <v>9.4964360637384004E-4</v>
      </c>
      <c r="R175" s="3">
        <f t="shared" si="81"/>
        <v>3.2174660740328598E-2</v>
      </c>
      <c r="S175" s="3">
        <f t="shared" si="82"/>
        <v>5.6672431324855665E-3</v>
      </c>
      <c r="T175" s="3">
        <f t="shared" si="83"/>
        <v>-1.2283883613113389E-2</v>
      </c>
      <c r="U175" s="3">
        <f t="shared" si="84"/>
        <v>1.2790291332061443E-2</v>
      </c>
      <c r="V175" s="3">
        <f t="shared" si="85"/>
        <v>-5.3912942819422938E-4</v>
      </c>
      <c r="W175" s="3">
        <f t="shared" si="86"/>
        <v>-4.0270213202129312E-3</v>
      </c>
      <c r="X175" s="3">
        <f t="shared" si="87"/>
        <v>-1.8445056700606699E-3</v>
      </c>
      <c r="AK175" s="3"/>
      <c r="AL175" s="8"/>
      <c r="AW175" s="3"/>
      <c r="AY175" s="5"/>
      <c r="AZ175" s="28">
        <f t="shared" si="76"/>
        <v>44405</v>
      </c>
      <c r="BA175" s="3">
        <f t="shared" si="77"/>
        <v>170</v>
      </c>
      <c r="BB175" s="3">
        <f t="shared" si="71"/>
        <v>1.3681903176270889</v>
      </c>
      <c r="BC175" s="3">
        <f t="shared" si="72"/>
        <v>1.3575536452672616</v>
      </c>
      <c r="BD175" s="3">
        <f t="shared" si="73"/>
        <v>1.4465791824387026</v>
      </c>
      <c r="BE175" s="3">
        <f t="shared" si="74"/>
        <v>0.94038579886421214</v>
      </c>
      <c r="BG175" s="3">
        <f t="shared" si="75"/>
        <v>2.4050573298340372E-3</v>
      </c>
      <c r="BH175" s="3">
        <f t="shared" si="88"/>
        <v>5.8608163526896462E-4</v>
      </c>
      <c r="BI175" s="3">
        <f t="shared" si="89"/>
        <v>9.4893654698647856E-3</v>
      </c>
      <c r="BJ175" s="3">
        <f t="shared" si="90"/>
        <v>1.5879786486614408E-2</v>
      </c>
    </row>
    <row r="176" spans="1:62" x14ac:dyDescent="0.3">
      <c r="A176" s="27">
        <v>44410</v>
      </c>
      <c r="B176" s="3">
        <v>283.75665283203102</v>
      </c>
      <c r="C176" s="3">
        <v>145.090560913085</v>
      </c>
      <c r="D176" s="3">
        <v>3331.47998046875</v>
      </c>
      <c r="E176" s="3">
        <v>2697.09008789062</v>
      </c>
      <c r="F176" s="3">
        <v>709.66998291015602</v>
      </c>
      <c r="G176" s="3">
        <v>2719.7900390625</v>
      </c>
      <c r="H176" s="3">
        <v>351.95001220703102</v>
      </c>
      <c r="I176" s="3">
        <v>197.44100952148401</v>
      </c>
      <c r="J176" s="3">
        <v>278.14001464843699</v>
      </c>
      <c r="K176" s="3">
        <v>150.26452636718699</v>
      </c>
      <c r="L176" s="3">
        <v>4387.16015625</v>
      </c>
      <c r="N176" s="3">
        <f t="shared" si="70"/>
        <v>8.0428421638281122E-3</v>
      </c>
      <c r="O176" s="3">
        <f t="shared" si="78"/>
        <v>1.256489476253897E-2</v>
      </c>
      <c r="P176" s="3">
        <f t="shared" si="79"/>
        <v>1.0379747735539624E-2</v>
      </c>
      <c r="Q176" s="3">
        <f t="shared" si="80"/>
        <v>5.7341739478697917E-3</v>
      </c>
      <c r="R176" s="3">
        <f t="shared" si="81"/>
        <v>9.8642852453423302E-5</v>
      </c>
      <c r="S176" s="3">
        <f t="shared" si="82"/>
        <v>2.1339373865387756E-3</v>
      </c>
      <c r="T176" s="3">
        <f t="shared" si="83"/>
        <v>-2.0194320496198515E-3</v>
      </c>
      <c r="U176" s="3">
        <f t="shared" si="84"/>
        <v>3.285606159113108E-3</v>
      </c>
      <c r="V176" s="3">
        <f t="shared" si="85"/>
        <v>1.3072919430348939E-2</v>
      </c>
      <c r="W176" s="3">
        <f t="shared" si="86"/>
        <v>1.1313703161342836E-2</v>
      </c>
      <c r="X176" s="3">
        <f t="shared" si="87"/>
        <v>8.1699613389183412E-3</v>
      </c>
      <c r="AK176" s="3"/>
      <c r="AL176" s="8"/>
      <c r="AW176" s="3"/>
      <c r="AY176" s="5"/>
      <c r="AZ176" s="28">
        <f t="shared" si="76"/>
        <v>44406</v>
      </c>
      <c r="BA176" s="3">
        <f t="shared" si="77"/>
        <v>171</v>
      </c>
      <c r="BB176" s="3">
        <f t="shared" si="71"/>
        <v>1.3714848539654414</v>
      </c>
      <c r="BC176" s="3">
        <f t="shared" si="72"/>
        <v>1.3583495157273944</v>
      </c>
      <c r="BD176" s="3">
        <f t="shared" si="73"/>
        <v>1.4603716383107108</v>
      </c>
      <c r="BE176" s="3">
        <f t="shared" si="74"/>
        <v>0.9554381220970396</v>
      </c>
      <c r="BG176" s="3">
        <f t="shared" si="75"/>
        <v>-1.0112544142287738E-2</v>
      </c>
      <c r="BH176" s="3">
        <f t="shared" si="88"/>
        <v>-1.1416391887807686E-2</v>
      </c>
      <c r="BI176" s="3">
        <f t="shared" si="89"/>
        <v>-1.0349024427794951E-2</v>
      </c>
      <c r="BJ176" s="3">
        <f t="shared" si="90"/>
        <v>-1.3174221207260715E-2</v>
      </c>
    </row>
    <row r="177" spans="1:62" x14ac:dyDescent="0.3">
      <c r="A177" s="27">
        <v>44411</v>
      </c>
      <c r="B177" s="3">
        <v>286.04806518554602</v>
      </c>
      <c r="C177" s="3">
        <v>146.92510986328099</v>
      </c>
      <c r="D177" s="3">
        <v>3366.23999023437</v>
      </c>
      <c r="E177" s="3">
        <v>2712.60009765625</v>
      </c>
      <c r="F177" s="3">
        <v>709.739990234375</v>
      </c>
      <c r="G177" s="3">
        <v>2725.60009765625</v>
      </c>
      <c r="H177" s="3">
        <v>351.239990234375</v>
      </c>
      <c r="I177" s="3">
        <v>198.09078979492099</v>
      </c>
      <c r="J177" s="3">
        <v>281.79998779296801</v>
      </c>
      <c r="K177" s="3">
        <v>151.97422790527301</v>
      </c>
      <c r="L177" s="3">
        <v>4423.14990234375</v>
      </c>
      <c r="N177" s="3">
        <f t="shared" si="70"/>
        <v>-2.1268227888144864E-3</v>
      </c>
      <c r="O177" s="3">
        <f t="shared" si="78"/>
        <v>-2.7861315560633315E-3</v>
      </c>
      <c r="P177" s="3">
        <f t="shared" si="79"/>
        <v>-3.4280908917647679E-3</v>
      </c>
      <c r="Q177" s="3">
        <f t="shared" si="80"/>
        <v>-3.7266461320157873E-3</v>
      </c>
      <c r="R177" s="3">
        <f t="shared" si="81"/>
        <v>1.6611898264766722E-3</v>
      </c>
      <c r="S177" s="3">
        <f t="shared" si="82"/>
        <v>-1.8471808899791498E-3</v>
      </c>
      <c r="T177" s="3">
        <f t="shared" si="83"/>
        <v>2.1629837152839393E-2</v>
      </c>
      <c r="U177" s="3">
        <f t="shared" si="84"/>
        <v>2.2900174285007679E-2</v>
      </c>
      <c r="V177" s="3">
        <f t="shared" si="85"/>
        <v>-1.077462022350506E-2</v>
      </c>
      <c r="W177" s="3">
        <f t="shared" si="86"/>
        <v>-1.0850759742627503E-2</v>
      </c>
      <c r="X177" s="3">
        <f t="shared" si="87"/>
        <v>-4.6431506612965023E-3</v>
      </c>
      <c r="AK177" s="3"/>
      <c r="AL177" s="8"/>
      <c r="AW177" s="3"/>
      <c r="AY177" s="5"/>
      <c r="AZ177" s="28">
        <f t="shared" si="76"/>
        <v>44407</v>
      </c>
      <c r="BA177" s="3">
        <f t="shared" si="77"/>
        <v>172</v>
      </c>
      <c r="BB177" s="3">
        <f t="shared" si="71"/>
        <v>1.3576855435043271</v>
      </c>
      <c r="BC177" s="3">
        <f t="shared" si="72"/>
        <v>1.342930249001884</v>
      </c>
      <c r="BD177" s="3">
        <f t="shared" si="73"/>
        <v>1.4453361520538179</v>
      </c>
      <c r="BE177" s="3">
        <f t="shared" si="74"/>
        <v>0.94293351898824418</v>
      </c>
      <c r="BG177" s="3">
        <f t="shared" si="75"/>
        <v>3.7558842331894549E-3</v>
      </c>
      <c r="BH177" s="3">
        <f t="shared" si="88"/>
        <v>1.4879672962282431E-3</v>
      </c>
      <c r="BI177" s="3">
        <f t="shared" si="89"/>
        <v>4.3819681057306603E-3</v>
      </c>
      <c r="BJ177" s="3">
        <f t="shared" si="90"/>
        <v>5.4305822254260769E-3</v>
      </c>
    </row>
    <row r="178" spans="1:62" x14ac:dyDescent="0.3">
      <c r="A178" s="27">
        <v>44412</v>
      </c>
      <c r="B178" s="3">
        <v>285.440338134765</v>
      </c>
      <c r="C178" s="3">
        <v>146.51632690429599</v>
      </c>
      <c r="D178" s="3">
        <v>3354.71997070312</v>
      </c>
      <c r="E178" s="3">
        <v>2702.51000976562</v>
      </c>
      <c r="F178" s="3">
        <v>710.91998291015602</v>
      </c>
      <c r="G178" s="3">
        <v>2720.57006835937</v>
      </c>
      <c r="H178" s="3">
        <v>358.92001342773398</v>
      </c>
      <c r="I178" s="3">
        <v>202.679443359375</v>
      </c>
      <c r="J178" s="3">
        <v>278.77999877929602</v>
      </c>
      <c r="K178" s="3">
        <v>150.33410644531199</v>
      </c>
      <c r="L178" s="3">
        <v>4402.66015625</v>
      </c>
      <c r="N178" s="3">
        <f t="shared" si="70"/>
        <v>1.0450892442753101E-2</v>
      </c>
      <c r="O178" s="3">
        <f t="shared" si="78"/>
        <v>7.4830666324654516E-4</v>
      </c>
      <c r="P178" s="3">
        <f t="shared" si="79"/>
        <v>6.3203110695848608E-3</v>
      </c>
      <c r="Q178" s="3">
        <f t="shared" si="80"/>
        <v>8.2984735645075247E-3</v>
      </c>
      <c r="R178" s="3">
        <f t="shared" si="81"/>
        <v>5.2050512161434526E-3</v>
      </c>
      <c r="S178" s="3">
        <f t="shared" si="82"/>
        <v>6.6784437891529436E-3</v>
      </c>
      <c r="T178" s="3">
        <f t="shared" si="83"/>
        <v>1.1220629743240451E-2</v>
      </c>
      <c r="U178" s="3">
        <f t="shared" si="84"/>
        <v>1.7746184237384277E-2</v>
      </c>
      <c r="V178" s="3">
        <f t="shared" si="85"/>
        <v>5.1163556420830147E-3</v>
      </c>
      <c r="W178" s="3">
        <f t="shared" si="86"/>
        <v>1.2549754287798365E-2</v>
      </c>
      <c r="X178" s="3">
        <f t="shared" si="87"/>
        <v>5.987485990420538E-3</v>
      </c>
      <c r="AK178" s="3"/>
      <c r="AL178" s="8"/>
      <c r="AW178" s="3"/>
      <c r="AY178" s="5"/>
      <c r="AZ178" s="28">
        <f t="shared" si="76"/>
        <v>44410</v>
      </c>
      <c r="BA178" s="3">
        <f t="shared" si="77"/>
        <v>173</v>
      </c>
      <c r="BB178" s="3">
        <f t="shared" si="71"/>
        <v>1.3627944414396145</v>
      </c>
      <c r="BC178" s="3">
        <f t="shared" si="72"/>
        <v>1.3449299726862796</v>
      </c>
      <c r="BD178" s="3">
        <f t="shared" si="73"/>
        <v>1.4516834656805435</v>
      </c>
      <c r="BE178" s="3">
        <f t="shared" si="74"/>
        <v>0.94806812633109072</v>
      </c>
      <c r="BG178" s="3">
        <f t="shared" si="75"/>
        <v>6.151944448068325E-3</v>
      </c>
      <c r="BH178" s="3">
        <f t="shared" si="88"/>
        <v>7.2367146283841E-3</v>
      </c>
      <c r="BI178" s="3">
        <f t="shared" si="89"/>
        <v>9.4976412082235506E-3</v>
      </c>
      <c r="BJ178" s="3">
        <f t="shared" si="90"/>
        <v>1.2663470661696583E-2</v>
      </c>
    </row>
    <row r="179" spans="1:62" x14ac:dyDescent="0.3">
      <c r="A179" s="27">
        <v>44413</v>
      </c>
      <c r="B179" s="3">
        <v>288.43908691406199</v>
      </c>
      <c r="C179" s="3">
        <v>146.62600708007801</v>
      </c>
      <c r="D179" s="3">
        <v>3375.98999023437</v>
      </c>
      <c r="E179" s="3">
        <v>2725.03002929687</v>
      </c>
      <c r="F179" s="3">
        <v>714.63000488281205</v>
      </c>
      <c r="G179" s="3">
        <v>2738.80004882812</v>
      </c>
      <c r="H179" s="3">
        <v>362.97000122070301</v>
      </c>
      <c r="I179" s="3">
        <v>206.308334350585</v>
      </c>
      <c r="J179" s="3">
        <v>280.20999145507801</v>
      </c>
      <c r="K179" s="3">
        <v>152.232650756835</v>
      </c>
      <c r="L179" s="3">
        <v>4429.10009765625</v>
      </c>
      <c r="N179" s="3">
        <f t="shared" si="70"/>
        <v>-2.0718276694431381E-4</v>
      </c>
      <c r="O179" s="3">
        <f t="shared" si="78"/>
        <v>-4.7785607409380759E-3</v>
      </c>
      <c r="P179" s="3">
        <f t="shared" si="79"/>
        <v>-9.2398730688874053E-3</v>
      </c>
      <c r="Q179" s="3">
        <f t="shared" si="80"/>
        <v>-3.7722055368893948E-3</v>
      </c>
      <c r="R179" s="3">
        <f t="shared" si="81"/>
        <v>-2.1971174473074839E-2</v>
      </c>
      <c r="S179" s="3">
        <f t="shared" si="82"/>
        <v>7.0076282109532428E-4</v>
      </c>
      <c r="T179" s="3">
        <f t="shared" si="83"/>
        <v>1.4866441917531503E-3</v>
      </c>
      <c r="U179" s="3">
        <f t="shared" si="84"/>
        <v>-1.3218625765510694E-2</v>
      </c>
      <c r="V179" s="3">
        <f t="shared" si="85"/>
        <v>1.9157992495506981E-2</v>
      </c>
      <c r="W179" s="3">
        <f t="shared" si="86"/>
        <v>2.8007722738284002E-2</v>
      </c>
      <c r="X179" s="3">
        <f t="shared" si="87"/>
        <v>1.6738645485290249E-3</v>
      </c>
      <c r="AK179" s="3"/>
      <c r="AL179" s="8"/>
      <c r="AW179" s="3"/>
      <c r="AY179" s="5"/>
      <c r="AZ179" s="28">
        <f t="shared" si="76"/>
        <v>44411</v>
      </c>
      <c r="BA179" s="3">
        <f t="shared" si="77"/>
        <v>174</v>
      </c>
      <c r="BB179" s="3">
        <f t="shared" si="71"/>
        <v>1.3712041185476869</v>
      </c>
      <c r="BC179" s="3">
        <f t="shared" si="72"/>
        <v>1.3546981492168215</v>
      </c>
      <c r="BD179" s="3">
        <f t="shared" si="73"/>
        <v>1.4655367168539897</v>
      </c>
      <c r="BE179" s="3">
        <f t="shared" si="74"/>
        <v>0.96015029889186976</v>
      </c>
      <c r="BG179" s="3">
        <f t="shared" si="75"/>
        <v>1.3975440833872144E-3</v>
      </c>
      <c r="BH179" s="3">
        <f t="shared" si="88"/>
        <v>-8.4836449302616579E-4</v>
      </c>
      <c r="BI179" s="3">
        <f t="shared" si="89"/>
        <v>-9.761721859419259E-5</v>
      </c>
      <c r="BJ179" s="3">
        <f t="shared" si="90"/>
        <v>2.5387001793460151E-4</v>
      </c>
    </row>
    <row r="180" spans="1:62" x14ac:dyDescent="0.3">
      <c r="A180" s="27">
        <v>44414</v>
      </c>
      <c r="B180" s="3">
        <v>288.37933349609301</v>
      </c>
      <c r="C180" s="3">
        <v>145.92701721191401</v>
      </c>
      <c r="D180" s="3">
        <v>3344.93994140625</v>
      </c>
      <c r="E180" s="3">
        <v>2714.77001953125</v>
      </c>
      <c r="F180" s="3">
        <v>699.09997558593705</v>
      </c>
      <c r="G180" s="3">
        <v>2740.71997070312</v>
      </c>
      <c r="H180" s="3">
        <v>363.510009765625</v>
      </c>
      <c r="I180" s="3">
        <v>203.59916687011699</v>
      </c>
      <c r="J180" s="3">
        <v>285.63000488281199</v>
      </c>
      <c r="K180" s="3">
        <v>156.55661010742099</v>
      </c>
      <c r="L180" s="3">
        <v>4436.52001953125</v>
      </c>
      <c r="N180" s="3">
        <f t="shared" si="70"/>
        <v>-3.9116093661268891E-3</v>
      </c>
      <c r="O180" s="3">
        <f t="shared" si="78"/>
        <v>-3.4219366340959567E-4</v>
      </c>
      <c r="P180" s="3">
        <f t="shared" si="79"/>
        <v>-9.1817306234709406E-4</v>
      </c>
      <c r="Q180" s="3">
        <f t="shared" si="80"/>
        <v>8.6154433058514002E-3</v>
      </c>
      <c r="R180" s="3">
        <f t="shared" si="81"/>
        <v>2.0753026466093338E-2</v>
      </c>
      <c r="S180" s="3">
        <f t="shared" si="82"/>
        <v>7.0245376163819984E-3</v>
      </c>
      <c r="T180" s="3">
        <f t="shared" si="83"/>
        <v>-5.2405912823969558E-3</v>
      </c>
      <c r="U180" s="3">
        <f t="shared" si="84"/>
        <v>-3.4923189278126543E-3</v>
      </c>
      <c r="V180" s="3">
        <f t="shared" si="85"/>
        <v>5.5860427319887052E-3</v>
      </c>
      <c r="W180" s="3">
        <f t="shared" si="86"/>
        <v>-1.0799102366103597E-3</v>
      </c>
      <c r="X180" s="3">
        <f t="shared" si="87"/>
        <v>-9.403502649565354E-4</v>
      </c>
      <c r="AK180" s="3"/>
      <c r="AL180" s="8"/>
      <c r="AW180" s="3"/>
      <c r="AY180" s="5"/>
      <c r="AZ180" s="28">
        <f t="shared" si="76"/>
        <v>44412</v>
      </c>
      <c r="BA180" s="3">
        <f t="shared" si="77"/>
        <v>175</v>
      </c>
      <c r="BB180" s="3">
        <f t="shared" si="71"/>
        <v>1.3731217764442836</v>
      </c>
      <c r="BC180" s="3">
        <f t="shared" si="72"/>
        <v>1.3535493587736696</v>
      </c>
      <c r="BD180" s="3">
        <f t="shared" si="73"/>
        <v>1.4653936622183541</v>
      </c>
      <c r="BE180" s="3">
        <f t="shared" si="74"/>
        <v>0.9603940832089245</v>
      </c>
      <c r="BG180" s="3">
        <f t="shared" si="75"/>
        <v>8.6470671278336408E-3</v>
      </c>
      <c r="BH180" s="3">
        <f t="shared" si="88"/>
        <v>8.2765572932027021E-3</v>
      </c>
      <c r="BI180" s="3">
        <f t="shared" si="89"/>
        <v>9.4389372828303508E-3</v>
      </c>
      <c r="BJ180" s="3">
        <f t="shared" si="90"/>
        <v>1.0536977031565108E-2</v>
      </c>
    </row>
    <row r="181" spans="1:62" x14ac:dyDescent="0.3">
      <c r="A181" s="27">
        <v>44417</v>
      </c>
      <c r="B181" s="3">
        <v>287.25350952148398</v>
      </c>
      <c r="C181" s="3">
        <v>145.87709045410099</v>
      </c>
      <c r="D181" s="3">
        <v>3341.8701171875</v>
      </c>
      <c r="E181" s="3">
        <v>2738.26000976562</v>
      </c>
      <c r="F181" s="3">
        <v>713.760009765625</v>
      </c>
      <c r="G181" s="3">
        <v>2760.0400390625</v>
      </c>
      <c r="H181" s="3">
        <v>361.60998535156199</v>
      </c>
      <c r="I181" s="3">
        <v>202.88937377929599</v>
      </c>
      <c r="J181" s="3">
        <v>287.23001098632801</v>
      </c>
      <c r="K181" s="3">
        <v>156.38763427734301</v>
      </c>
      <c r="L181" s="3">
        <v>4432.35009765625</v>
      </c>
      <c r="N181" s="3">
        <f t="shared" si="70"/>
        <v>-6.5764287239957753E-3</v>
      </c>
      <c r="O181" s="3">
        <f t="shared" si="78"/>
        <v>-3.359646276194006E-3</v>
      </c>
      <c r="P181" s="3">
        <f t="shared" si="79"/>
        <v>-6.3610049731668283E-3</v>
      </c>
      <c r="Q181" s="3">
        <f t="shared" si="80"/>
        <v>-7.7455696745420965E-4</v>
      </c>
      <c r="R181" s="3">
        <f t="shared" si="81"/>
        <v>-5.295913387363349E-3</v>
      </c>
      <c r="S181" s="3">
        <f t="shared" si="82"/>
        <v>6.8449943115833634E-4</v>
      </c>
      <c r="T181" s="3">
        <f t="shared" si="83"/>
        <v>-1.3282246611501236E-3</v>
      </c>
      <c r="U181" s="3">
        <f t="shared" si="84"/>
        <v>-1.7847410922573914E-2</v>
      </c>
      <c r="V181" s="3">
        <f t="shared" si="85"/>
        <v>5.9357357581779624E-3</v>
      </c>
      <c r="W181" s="3">
        <f t="shared" si="86"/>
        <v>1.2192492631949214E-2</v>
      </c>
      <c r="X181" s="3">
        <f t="shared" si="87"/>
        <v>9.9218695386404931E-4</v>
      </c>
      <c r="AK181" s="3"/>
      <c r="AL181" s="8"/>
      <c r="AW181" s="3"/>
      <c r="AY181" s="5"/>
      <c r="AZ181" s="28">
        <f t="shared" si="76"/>
        <v>44413</v>
      </c>
      <c r="BA181" s="3">
        <f t="shared" si="77"/>
        <v>176</v>
      </c>
      <c r="BB181" s="3">
        <f t="shared" si="71"/>
        <v>1.3850467362798815</v>
      </c>
      <c r="BC181" s="3">
        <f t="shared" si="72"/>
        <v>1.3647985757697032</v>
      </c>
      <c r="BD181" s="3">
        <f t="shared" si="73"/>
        <v>1.4792909055152386</v>
      </c>
      <c r="BE181" s="3">
        <f t="shared" si="74"/>
        <v>0.97056723662173794</v>
      </c>
      <c r="BG181" s="3">
        <f t="shared" si="75"/>
        <v>-6.4870605917144442E-4</v>
      </c>
      <c r="BH181" s="3">
        <f t="shared" si="88"/>
        <v>2.6256291162825018E-3</v>
      </c>
      <c r="BI181" s="3">
        <f t="shared" si="89"/>
        <v>4.0509589101217491E-3</v>
      </c>
      <c r="BJ181" s="3">
        <f t="shared" si="90"/>
        <v>6.1197876327353656E-3</v>
      </c>
    </row>
    <row r="182" spans="1:62" x14ac:dyDescent="0.3">
      <c r="A182" s="27">
        <v>44418</v>
      </c>
      <c r="B182" s="3">
        <v>285.37060546875</v>
      </c>
      <c r="C182" s="3">
        <v>145.38781738281199</v>
      </c>
      <c r="D182" s="3">
        <v>3320.67993164062</v>
      </c>
      <c r="E182" s="3">
        <v>2736.13989257812</v>
      </c>
      <c r="F182" s="3">
        <v>709.989990234375</v>
      </c>
      <c r="G182" s="3">
        <v>2761.92993164062</v>
      </c>
      <c r="H182" s="3">
        <v>361.13000488281199</v>
      </c>
      <c r="I182" s="3">
        <v>199.30044555664</v>
      </c>
      <c r="J182" s="3">
        <v>288.94000244140602</v>
      </c>
      <c r="K182" s="3">
        <v>158.306060791015</v>
      </c>
      <c r="L182" s="3">
        <v>4436.75</v>
      </c>
      <c r="N182" s="3">
        <f t="shared" si="70"/>
        <v>1.7789703526451817E-3</v>
      </c>
      <c r="O182" s="3">
        <f t="shared" si="78"/>
        <v>1.784066417584107E-3</v>
      </c>
      <c r="P182" s="3">
        <f t="shared" si="79"/>
        <v>-8.6408314224808436E-3</v>
      </c>
      <c r="Q182" s="3">
        <f t="shared" si="80"/>
        <v>-3.866850614003603E-3</v>
      </c>
      <c r="R182" s="3">
        <f t="shared" si="81"/>
        <v>-3.0610372451587153E-3</v>
      </c>
      <c r="S182" s="3">
        <f t="shared" si="82"/>
        <v>-2.9515271009348254E-3</v>
      </c>
      <c r="T182" s="3">
        <f t="shared" si="83"/>
        <v>-3.2451274055826929E-3</v>
      </c>
      <c r="U182" s="3">
        <f t="shared" si="84"/>
        <v>-1.1959198174348096E-2</v>
      </c>
      <c r="V182" s="3">
        <f t="shared" si="85"/>
        <v>8.065937125590672E-3</v>
      </c>
      <c r="W182" s="3">
        <f t="shared" si="86"/>
        <v>1.185961570691596E-2</v>
      </c>
      <c r="X182" s="3">
        <f t="shared" si="87"/>
        <v>1.2749307180150993E-3</v>
      </c>
      <c r="AK182" s="3"/>
      <c r="AL182" s="8"/>
      <c r="AW182" s="3"/>
      <c r="AY182" s="5"/>
      <c r="AZ182" s="28">
        <f t="shared" si="76"/>
        <v>44414</v>
      </c>
      <c r="BA182" s="3">
        <f t="shared" si="77"/>
        <v>177</v>
      </c>
      <c r="BB182" s="3">
        <f t="shared" si="71"/>
        <v>1.3841485394341875</v>
      </c>
      <c r="BC182" s="3">
        <f t="shared" si="72"/>
        <v>1.3683867391798887</v>
      </c>
      <c r="BD182" s="3">
        <f t="shared" si="73"/>
        <v>1.485295606376265</v>
      </c>
      <c r="BE182" s="3">
        <f t="shared" si="74"/>
        <v>0.97652511387048158</v>
      </c>
      <c r="BG182" s="3">
        <f t="shared" si="75"/>
        <v>2.9438303478684924E-3</v>
      </c>
      <c r="BH182" s="3">
        <f t="shared" si="88"/>
        <v>2.2984922622030779E-3</v>
      </c>
      <c r="BI182" s="3">
        <f t="shared" si="89"/>
        <v>8.7879530313628162E-4</v>
      </c>
      <c r="BJ182" s="3">
        <f t="shared" si="90"/>
        <v>-2.0387514356815517E-3</v>
      </c>
    </row>
    <row r="183" spans="1:62" x14ac:dyDescent="0.3">
      <c r="A183" s="27">
        <v>44419</v>
      </c>
      <c r="B183" s="3">
        <v>285.87872314453102</v>
      </c>
      <c r="C183" s="3">
        <v>145.64743041992099</v>
      </c>
      <c r="D183" s="3">
        <v>3292.11010742187</v>
      </c>
      <c r="E183" s="3">
        <v>2725.580078125</v>
      </c>
      <c r="F183" s="3">
        <v>707.82000732421795</v>
      </c>
      <c r="G183" s="3">
        <v>2753.7900390625</v>
      </c>
      <c r="H183" s="3">
        <v>359.95999145507801</v>
      </c>
      <c r="I183" s="3">
        <v>196.93116760253901</v>
      </c>
      <c r="J183" s="3">
        <v>291.27999877929602</v>
      </c>
      <c r="K183" s="3">
        <v>160.19468688964801</v>
      </c>
      <c r="L183" s="3">
        <v>4442.41015625</v>
      </c>
      <c r="N183" s="3">
        <f t="shared" si="70"/>
        <v>9.9174872231753142E-3</v>
      </c>
      <c r="O183" s="3">
        <f t="shared" si="78"/>
        <v>2.0560552797444842E-2</v>
      </c>
      <c r="P183" s="3">
        <f t="shared" si="79"/>
        <v>3.4537832633407817E-3</v>
      </c>
      <c r="Q183" s="3">
        <f t="shared" si="80"/>
        <v>6.6916562528174239E-3</v>
      </c>
      <c r="R183" s="3">
        <f t="shared" si="81"/>
        <v>2.0181504916967796E-2</v>
      </c>
      <c r="S183" s="3">
        <f t="shared" si="82"/>
        <v>5.0710230778339138E-3</v>
      </c>
      <c r="T183" s="3">
        <f t="shared" si="83"/>
        <v>7.4452745518849284E-3</v>
      </c>
      <c r="U183" s="3">
        <f t="shared" si="84"/>
        <v>1.0403018998879965E-2</v>
      </c>
      <c r="V183" s="3">
        <f t="shared" si="85"/>
        <v>-3.576866396303835E-3</v>
      </c>
      <c r="W183" s="3">
        <f t="shared" si="86"/>
        <v>3.9015020343846629E-3</v>
      </c>
      <c r="X183" s="3">
        <f t="shared" si="87"/>
        <v>4.1378077354785603E-3</v>
      </c>
      <c r="AK183" s="3"/>
      <c r="AL183" s="8"/>
      <c r="AW183" s="3"/>
      <c r="AY183" s="5"/>
      <c r="AZ183" s="28">
        <f t="shared" si="76"/>
        <v>44417</v>
      </c>
      <c r="BA183" s="3">
        <f t="shared" si="77"/>
        <v>178</v>
      </c>
      <c r="BB183" s="3">
        <f t="shared" si="71"/>
        <v>1.388229241410698</v>
      </c>
      <c r="BC183" s="3">
        <f t="shared" si="72"/>
        <v>1.371535582921787</v>
      </c>
      <c r="BD183" s="3">
        <f t="shared" si="73"/>
        <v>1.4866014508798857</v>
      </c>
      <c r="BE183" s="3">
        <f t="shared" si="74"/>
        <v>0.97453624998104793</v>
      </c>
      <c r="BG183" s="3">
        <f t="shared" si="75"/>
        <v>-2.3387436989173449E-3</v>
      </c>
      <c r="BH183" s="3">
        <f t="shared" si="88"/>
        <v>-9.1232447141115225E-4</v>
      </c>
      <c r="BI183" s="3">
        <f t="shared" si="89"/>
        <v>-2.1652849023967025E-3</v>
      </c>
      <c r="BJ183" s="3">
        <f t="shared" si="90"/>
        <v>-3.8902255553109957E-3</v>
      </c>
    </row>
    <row r="184" spans="1:62" x14ac:dyDescent="0.3">
      <c r="A184" s="27">
        <v>44420</v>
      </c>
      <c r="B184" s="3">
        <v>288.72802734375</v>
      </c>
      <c r="C184" s="3">
        <v>148.67301940917901</v>
      </c>
      <c r="D184" s="3">
        <v>3303.5</v>
      </c>
      <c r="E184" s="3">
        <v>2743.8798828125</v>
      </c>
      <c r="F184" s="3">
        <v>722.25</v>
      </c>
      <c r="G184" s="3">
        <v>2767.7900390625</v>
      </c>
      <c r="H184" s="3">
        <v>362.64999389648398</v>
      </c>
      <c r="I184" s="3">
        <v>198.99053955078099</v>
      </c>
      <c r="J184" s="3">
        <v>290.239990234375</v>
      </c>
      <c r="K184" s="3">
        <v>160.82090759277301</v>
      </c>
      <c r="L184" s="3">
        <v>4460.830078125</v>
      </c>
      <c r="N184" s="3">
        <f t="shared" si="70"/>
        <v>1.0434910939947528E-2</v>
      </c>
      <c r="O184" s="3">
        <f t="shared" si="78"/>
        <v>1.4094943861753251E-3</v>
      </c>
      <c r="P184" s="3">
        <f t="shared" si="79"/>
        <v>-2.8889971360452904E-3</v>
      </c>
      <c r="Q184" s="3">
        <f t="shared" si="80"/>
        <v>3.8811731866914556E-3</v>
      </c>
      <c r="R184" s="3">
        <f t="shared" si="81"/>
        <v>-7.0584516561043031E-3</v>
      </c>
      <c r="S184" s="3">
        <f t="shared" si="82"/>
        <v>1.1924981297539716E-4</v>
      </c>
      <c r="T184" s="3">
        <f t="shared" si="83"/>
        <v>1.460393985638575E-3</v>
      </c>
      <c r="U184" s="3">
        <f t="shared" si="84"/>
        <v>1.4117451558901983E-2</v>
      </c>
      <c r="V184" s="3">
        <f t="shared" si="85"/>
        <v>-8.1296196658424691E-3</v>
      </c>
      <c r="W184" s="3">
        <f t="shared" si="86"/>
        <v>-1.1250424467257325E-2</v>
      </c>
      <c r="X184" s="3">
        <f t="shared" si="87"/>
        <v>1.606016320923942E-3</v>
      </c>
      <c r="AK184" s="3"/>
      <c r="AL184" s="8"/>
      <c r="AW184" s="3"/>
      <c r="AY184" s="5"/>
      <c r="AZ184" s="28">
        <f t="shared" si="76"/>
        <v>44418</v>
      </c>
      <c r="BA184" s="3">
        <f t="shared" si="77"/>
        <v>179</v>
      </c>
      <c r="BB184" s="3">
        <f t="shared" si="71"/>
        <v>1.38498632267573</v>
      </c>
      <c r="BC184" s="3">
        <f t="shared" si="72"/>
        <v>1.3702848680617143</v>
      </c>
      <c r="BD184" s="3">
        <f t="shared" si="73"/>
        <v>1.4833860176232425</v>
      </c>
      <c r="BE184" s="3">
        <f t="shared" si="74"/>
        <v>0.97075244884868228</v>
      </c>
      <c r="BG184" s="3">
        <f t="shared" si="75"/>
        <v>-1.0835006989856066E-3</v>
      </c>
      <c r="BH184" s="3">
        <f t="shared" si="88"/>
        <v>2.6569417779698234E-4</v>
      </c>
      <c r="BI184" s="3">
        <f t="shared" si="89"/>
        <v>1.5323049619938023E-3</v>
      </c>
      <c r="BJ184" s="3">
        <f t="shared" si="90"/>
        <v>2.7322567669299594E-3</v>
      </c>
    </row>
    <row r="185" spans="1:62" x14ac:dyDescent="0.3">
      <c r="A185" s="27">
        <v>44421</v>
      </c>
      <c r="B185" s="3">
        <v>291.75665283203102</v>
      </c>
      <c r="C185" s="3">
        <v>148.882720947265</v>
      </c>
      <c r="D185" s="3">
        <v>3293.96997070312</v>
      </c>
      <c r="E185" s="3">
        <v>2754.55004882812</v>
      </c>
      <c r="F185" s="3">
        <v>717.16998291015602</v>
      </c>
      <c r="G185" s="3">
        <v>2768.1201171875</v>
      </c>
      <c r="H185" s="3">
        <v>363.17999267578102</v>
      </c>
      <c r="I185" s="3">
        <v>201.81970214843699</v>
      </c>
      <c r="J185" s="3">
        <v>287.89001464843699</v>
      </c>
      <c r="K185" s="3">
        <v>159.02174377441401</v>
      </c>
      <c r="L185" s="3">
        <v>4468</v>
      </c>
      <c r="N185" s="3">
        <f t="shared" si="70"/>
        <v>5.9580850573128785E-3</v>
      </c>
      <c r="O185" s="3">
        <f t="shared" si="78"/>
        <v>1.345692026988754E-2</v>
      </c>
      <c r="P185" s="3">
        <f t="shared" si="79"/>
        <v>1.5228427083222584E-3</v>
      </c>
      <c r="Q185" s="3">
        <f t="shared" si="80"/>
        <v>4.2167933452619266E-3</v>
      </c>
      <c r="R185" s="3">
        <f t="shared" si="81"/>
        <v>-4.4187502160085046E-2</v>
      </c>
      <c r="S185" s="3">
        <f t="shared" si="82"/>
        <v>3.6780213359399738E-3</v>
      </c>
      <c r="T185" s="3">
        <f t="shared" si="83"/>
        <v>9.2636530801257777E-3</v>
      </c>
      <c r="U185" s="3">
        <f t="shared" si="84"/>
        <v>-1.1859218032524765E-2</v>
      </c>
      <c r="V185" s="3">
        <f t="shared" si="85"/>
        <v>5.4040990840018566E-3</v>
      </c>
      <c r="W185" s="3">
        <f t="shared" si="86"/>
        <v>-6.5848936689381077E-3</v>
      </c>
      <c r="X185" s="3">
        <f t="shared" si="87"/>
        <v>2.6174222619932408E-3</v>
      </c>
      <c r="AK185" s="3"/>
      <c r="AL185" s="8"/>
      <c r="AW185" s="3"/>
      <c r="AY185" s="5"/>
      <c r="AZ185" s="28">
        <f t="shared" si="76"/>
        <v>44419</v>
      </c>
      <c r="BA185" s="3">
        <f t="shared" si="77"/>
        <v>180</v>
      </c>
      <c r="BB185" s="3">
        <f t="shared" si="71"/>
        <v>1.383486501702291</v>
      </c>
      <c r="BC185" s="3">
        <f t="shared" si="72"/>
        <v>1.3706489931438968</v>
      </c>
      <c r="BD185" s="3">
        <f t="shared" si="73"/>
        <v>1.4856607597328264</v>
      </c>
      <c r="BE185" s="3">
        <f t="shared" si="74"/>
        <v>0.9734084205420932</v>
      </c>
      <c r="BG185" s="3">
        <f t="shared" si="75"/>
        <v>8.4981527353433783E-3</v>
      </c>
      <c r="BH185" s="3">
        <f t="shared" si="88"/>
        <v>6.9415606455134893E-3</v>
      </c>
      <c r="BI185" s="3">
        <f t="shared" si="89"/>
        <v>7.8614316463465062E-3</v>
      </c>
      <c r="BJ185" s="3">
        <f t="shared" si="90"/>
        <v>8.0180106751771285E-3</v>
      </c>
    </row>
    <row r="186" spans="1:62" x14ac:dyDescent="0.3">
      <c r="A186" s="27">
        <v>44424</v>
      </c>
      <c r="B186" s="3">
        <v>293.50015258789</v>
      </c>
      <c r="C186" s="3">
        <v>150.89976501464801</v>
      </c>
      <c r="D186" s="3">
        <v>3298.98999023437</v>
      </c>
      <c r="E186" s="3">
        <v>2766.18994140625</v>
      </c>
      <c r="F186" s="3">
        <v>686.16998291015602</v>
      </c>
      <c r="G186" s="3">
        <v>2778.32006835937</v>
      </c>
      <c r="H186" s="3">
        <v>366.55999755859301</v>
      </c>
      <c r="I186" s="3">
        <v>199.44041442871</v>
      </c>
      <c r="J186" s="3">
        <v>289.45001220703102</v>
      </c>
      <c r="K186" s="3">
        <v>157.97804260253901</v>
      </c>
      <c r="L186" s="3">
        <v>4479.7099609375</v>
      </c>
      <c r="N186" s="3">
        <f t="shared" si="70"/>
        <v>-5.1729562693054731E-3</v>
      </c>
      <c r="O186" s="3">
        <f t="shared" si="78"/>
        <v>-6.1729971669981509E-3</v>
      </c>
      <c r="P186" s="3">
        <f t="shared" si="79"/>
        <v>-1.7438284934671699E-2</v>
      </c>
      <c r="Q186" s="3">
        <f t="shared" si="80"/>
        <v>-1.1986848088643143E-2</v>
      </c>
      <c r="R186" s="3">
        <f t="shared" si="81"/>
        <v>-3.027121224839302E-2</v>
      </c>
      <c r="S186" s="3">
        <f t="shared" si="82"/>
        <v>-1.169750053147034E-2</v>
      </c>
      <c r="T186" s="3">
        <f t="shared" si="83"/>
        <v>-2.237299769093859E-2</v>
      </c>
      <c r="U186" s="3">
        <f t="shared" si="84"/>
        <v>-2.4970861197187055E-2</v>
      </c>
      <c r="V186" s="3">
        <f t="shared" si="85"/>
        <v>-1.2099425637828176E-3</v>
      </c>
      <c r="W186" s="3">
        <f t="shared" si="86"/>
        <v>-1.2154411855819447E-2</v>
      </c>
      <c r="X186" s="3">
        <f t="shared" si="87"/>
        <v>-7.0857435071367547E-3</v>
      </c>
      <c r="AK186" s="3"/>
      <c r="AL186" s="8"/>
      <c r="AW186" s="3"/>
      <c r="AY186" s="5"/>
      <c r="AZ186" s="28">
        <f t="shared" si="76"/>
        <v>44420</v>
      </c>
      <c r="BA186" s="3">
        <f t="shared" si="77"/>
        <v>181</v>
      </c>
      <c r="BB186" s="3">
        <f t="shared" si="71"/>
        <v>1.3952936798445856</v>
      </c>
      <c r="BC186" s="3">
        <f t="shared" si="72"/>
        <v>1.380196535337554</v>
      </c>
      <c r="BD186" s="3">
        <f t="shared" si="73"/>
        <v>1.4973862092670811</v>
      </c>
      <c r="BE186" s="3">
        <f t="shared" si="74"/>
        <v>0.98124459292495025</v>
      </c>
      <c r="BG186" s="3">
        <f t="shared" si="75"/>
        <v>4.5540221462059272E-4</v>
      </c>
      <c r="BH186" s="3">
        <f t="shared" si="88"/>
        <v>-1.2586056396524103E-4</v>
      </c>
      <c r="BI186" s="3">
        <f t="shared" si="89"/>
        <v>-1.0816783006827313E-3</v>
      </c>
      <c r="BJ186" s="3">
        <f t="shared" si="90"/>
        <v>-1.1498982639289411E-3</v>
      </c>
    </row>
    <row r="187" spans="1:62" x14ac:dyDescent="0.3">
      <c r="A187" s="27">
        <v>44425</v>
      </c>
      <c r="B187" s="3">
        <v>291.98580932617102</v>
      </c>
      <c r="C187" s="3">
        <v>149.97113037109301</v>
      </c>
      <c r="D187" s="3">
        <v>3241.9599609375</v>
      </c>
      <c r="E187" s="3">
        <v>2733.22998046875</v>
      </c>
      <c r="F187" s="3">
        <v>665.71002197265602</v>
      </c>
      <c r="G187" s="3">
        <v>2746.01000976562</v>
      </c>
      <c r="H187" s="3">
        <v>358.45001220703102</v>
      </c>
      <c r="I187" s="3">
        <v>194.521881103515</v>
      </c>
      <c r="J187" s="3">
        <v>289.100006103515</v>
      </c>
      <c r="K187" s="3">
        <v>156.06953430175699</v>
      </c>
      <c r="L187" s="3">
        <v>4448.080078125</v>
      </c>
      <c r="N187" s="3">
        <f t="shared" si="70"/>
        <v>-6.1379751949699468E-3</v>
      </c>
      <c r="O187" s="3">
        <f t="shared" si="78"/>
        <v>-2.5831913317416522E-2</v>
      </c>
      <c r="P187" s="3">
        <f t="shared" si="79"/>
        <v>-1.2646095128827639E-2</v>
      </c>
      <c r="Q187" s="3">
        <f t="shared" si="80"/>
        <v>-8.9118797957699059E-3</v>
      </c>
      <c r="R187" s="3">
        <f t="shared" si="81"/>
        <v>3.4372569664644637E-2</v>
      </c>
      <c r="S187" s="3">
        <f t="shared" si="82"/>
        <v>-5.3346900470385705E-3</v>
      </c>
      <c r="T187" s="3">
        <f t="shared" si="83"/>
        <v>-8.4045876359644112E-3</v>
      </c>
      <c r="U187" s="3">
        <f t="shared" si="84"/>
        <v>-2.1716294686101811E-2</v>
      </c>
      <c r="V187" s="3">
        <f t="shared" si="85"/>
        <v>-9.5229607603668498E-3</v>
      </c>
      <c r="W187" s="3">
        <f t="shared" si="86"/>
        <v>-9.149317044781391E-3</v>
      </c>
      <c r="X187" s="3">
        <f t="shared" si="87"/>
        <v>-1.0806652845255726E-2</v>
      </c>
      <c r="AK187" s="3"/>
      <c r="AL187" s="8"/>
      <c r="AW187" s="3"/>
      <c r="AY187" s="5"/>
      <c r="AZ187" s="28">
        <f t="shared" si="76"/>
        <v>44421</v>
      </c>
      <c r="BA187" s="3">
        <f t="shared" si="77"/>
        <v>182</v>
      </c>
      <c r="BB187" s="3">
        <f t="shared" si="71"/>
        <v>1.3959292443841982</v>
      </c>
      <c r="BC187" s="3">
        <f t="shared" si="72"/>
        <v>1.38002283395454</v>
      </c>
      <c r="BD187" s="3">
        <f t="shared" si="73"/>
        <v>1.4957673947728691</v>
      </c>
      <c r="BE187" s="3">
        <f t="shared" si="74"/>
        <v>0.98011690995565859</v>
      </c>
      <c r="BG187" s="3">
        <f t="shared" si="75"/>
        <v>-2.2677631740889992E-3</v>
      </c>
      <c r="BH187" s="3">
        <f t="shared" si="88"/>
        <v>1.0362884374060521E-3</v>
      </c>
      <c r="BI187" s="3">
        <f t="shared" si="89"/>
        <v>-4.5375606646555489E-3</v>
      </c>
      <c r="BJ187" s="3">
        <f t="shared" si="90"/>
        <v>-6.8092150807649889E-3</v>
      </c>
    </row>
    <row r="188" spans="1:62" x14ac:dyDescent="0.3">
      <c r="A188" s="27">
        <v>44426</v>
      </c>
      <c r="B188" s="3">
        <v>290.19909667968699</v>
      </c>
      <c r="C188" s="3">
        <v>146.14669799804599</v>
      </c>
      <c r="D188" s="3">
        <v>3201.21997070312</v>
      </c>
      <c r="E188" s="3">
        <v>2708.97998046875</v>
      </c>
      <c r="F188" s="3">
        <v>688.989990234375</v>
      </c>
      <c r="G188" s="3">
        <v>2731.39990234375</v>
      </c>
      <c r="H188" s="3">
        <v>355.45001220703102</v>
      </c>
      <c r="I188" s="3">
        <v>190.34312438964801</v>
      </c>
      <c r="J188" s="3">
        <v>286.35998535156199</v>
      </c>
      <c r="K188" s="3">
        <v>154.64811706542901</v>
      </c>
      <c r="L188" s="3">
        <v>4400.27001953125</v>
      </c>
      <c r="N188" s="3">
        <f t="shared" si="70"/>
        <v>2.0562292700528673E-2</v>
      </c>
      <c r="O188" s="3">
        <f t="shared" si="78"/>
        <v>2.3203693382951585E-3</v>
      </c>
      <c r="P188" s="3">
        <f t="shared" si="79"/>
        <v>-4.2166392150662091E-3</v>
      </c>
      <c r="Q188" s="3">
        <f t="shared" si="80"/>
        <v>1.7040295353485391E-3</v>
      </c>
      <c r="R188" s="3">
        <f t="shared" si="81"/>
        <v>-2.278333501930252E-2</v>
      </c>
      <c r="S188" s="3">
        <f t="shared" si="82"/>
        <v>2.5120787537353806E-3</v>
      </c>
      <c r="T188" s="3">
        <f t="shared" si="83"/>
        <v>-9.2887994193713297E-4</v>
      </c>
      <c r="U188" s="3">
        <f t="shared" si="84"/>
        <v>3.9038855453203958E-2</v>
      </c>
      <c r="V188" s="3">
        <f t="shared" si="85"/>
        <v>-4.3044756300529841E-3</v>
      </c>
      <c r="W188" s="3">
        <f t="shared" si="86"/>
        <v>-8.3909858085515765E-3</v>
      </c>
      <c r="X188" s="3">
        <f t="shared" si="87"/>
        <v>1.2559032561583194E-3</v>
      </c>
      <c r="AK188" s="3"/>
      <c r="AL188" s="8"/>
      <c r="AW188" s="3"/>
      <c r="AY188" s="5"/>
      <c r="AZ188" s="28">
        <f t="shared" si="76"/>
        <v>44424</v>
      </c>
      <c r="BA188" s="3">
        <f t="shared" si="77"/>
        <v>183</v>
      </c>
      <c r="BB188" s="3">
        <f t="shared" si="71"/>
        <v>1.3927671941957718</v>
      </c>
      <c r="BC188" s="3">
        <f t="shared" si="72"/>
        <v>1.3814536769156838</v>
      </c>
      <c r="BD188" s="3">
        <f t="shared" si="73"/>
        <v>1.4889956347337665</v>
      </c>
      <c r="BE188" s="3">
        <f t="shared" si="74"/>
        <v>0.97346575338789221</v>
      </c>
      <c r="BG188" s="3">
        <f t="shared" si="75"/>
        <v>-1.4409436993822022E-2</v>
      </c>
      <c r="BH188" s="3">
        <f t="shared" si="88"/>
        <v>-1.1913663476578573E-2</v>
      </c>
      <c r="BI188" s="3">
        <f t="shared" si="89"/>
        <v>-1.2930673322874675E-2</v>
      </c>
      <c r="BJ188" s="3">
        <f t="shared" si="90"/>
        <v>-1.2347743830046956E-2</v>
      </c>
    </row>
    <row r="189" spans="1:62" x14ac:dyDescent="0.3">
      <c r="A189" s="27">
        <v>44427</v>
      </c>
      <c r="B189" s="3">
        <v>296.22802734375</v>
      </c>
      <c r="C189" s="3">
        <v>146.48620605468699</v>
      </c>
      <c r="D189" s="3">
        <v>3187.75</v>
      </c>
      <c r="E189" s="3">
        <v>2713.60009765625</v>
      </c>
      <c r="F189" s="3">
        <v>673.469970703125</v>
      </c>
      <c r="G189" s="3">
        <v>2738.27001953125</v>
      </c>
      <c r="H189" s="3">
        <v>355.11999511718699</v>
      </c>
      <c r="I189" s="3">
        <v>197.92085266113199</v>
      </c>
      <c r="J189" s="3">
        <v>285.13000488281199</v>
      </c>
      <c r="K189" s="3">
        <v>153.35589599609301</v>
      </c>
      <c r="L189" s="3">
        <v>4405.7998046875</v>
      </c>
      <c r="N189" s="3">
        <f t="shared" si="70"/>
        <v>2.5253791533002889E-2</v>
      </c>
      <c r="O189" s="3">
        <f t="shared" si="78"/>
        <v>1.010561800936749E-2</v>
      </c>
      <c r="P189" s="3">
        <f t="shared" si="79"/>
        <v>3.8198306430654583E-3</v>
      </c>
      <c r="Q189" s="3">
        <f t="shared" si="80"/>
        <v>1.2811882289641474E-2</v>
      </c>
      <c r="R189" s="3">
        <f t="shared" si="81"/>
        <v>1.0031684461689672E-2</v>
      </c>
      <c r="S189" s="3">
        <f t="shared" si="82"/>
        <v>1.1065998276797551E-2</v>
      </c>
      <c r="T189" s="3">
        <f t="shared" si="83"/>
        <v>1.1896738048177369E-2</v>
      </c>
      <c r="U189" s="3">
        <f t="shared" si="84"/>
        <v>5.0141060553309025E-2</v>
      </c>
      <c r="V189" s="3">
        <f t="shared" si="85"/>
        <v>4.9082796341970436E-4</v>
      </c>
      <c r="W189" s="3">
        <f t="shared" si="86"/>
        <v>2.8478865063430447E-3</v>
      </c>
      <c r="X189" s="3">
        <f t="shared" si="87"/>
        <v>8.1086038907418612E-3</v>
      </c>
      <c r="AK189" s="3"/>
      <c r="AL189" s="8"/>
      <c r="AW189" s="3"/>
      <c r="AY189" s="5"/>
      <c r="AZ189" s="28">
        <f t="shared" si="76"/>
        <v>44425</v>
      </c>
      <c r="BA189" s="3">
        <f t="shared" si="77"/>
        <v>184</v>
      </c>
      <c r="BB189" s="3">
        <f t="shared" si="71"/>
        <v>1.3728421024964825</v>
      </c>
      <c r="BC189" s="3">
        <f t="shared" si="72"/>
        <v>1.3650931530989241</v>
      </c>
      <c r="BD189" s="3">
        <f t="shared" si="73"/>
        <v>1.4698658655442978</v>
      </c>
      <c r="BE189" s="3">
        <f t="shared" si="74"/>
        <v>0.96151955372713993</v>
      </c>
      <c r="BG189" s="3">
        <f t="shared" si="75"/>
        <v>-7.1041630073551687E-3</v>
      </c>
      <c r="BH189" s="3">
        <f t="shared" si="88"/>
        <v>-8.9164724678370555E-3</v>
      </c>
      <c r="BI189" s="3">
        <f t="shared" si="89"/>
        <v>-1.1434107108358738E-2</v>
      </c>
      <c r="BJ189" s="3">
        <f t="shared" si="90"/>
        <v>-1.7022212044496582E-2</v>
      </c>
    </row>
    <row r="190" spans="1:62" x14ac:dyDescent="0.3">
      <c r="A190" s="27">
        <v>44428</v>
      </c>
      <c r="B190" s="3">
        <v>303.80416870117102</v>
      </c>
      <c r="C190" s="3">
        <v>147.97404479980401</v>
      </c>
      <c r="D190" s="3">
        <v>3199.94995117187</v>
      </c>
      <c r="E190" s="3">
        <v>2748.59008789062</v>
      </c>
      <c r="F190" s="3">
        <v>680.260009765625</v>
      </c>
      <c r="G190" s="3">
        <v>2768.73999023437</v>
      </c>
      <c r="H190" s="3">
        <v>359.36999511718699</v>
      </c>
      <c r="I190" s="3">
        <v>208.09782409667901</v>
      </c>
      <c r="J190" s="3">
        <v>285.26998901367102</v>
      </c>
      <c r="K190" s="3">
        <v>153.79325866699199</v>
      </c>
      <c r="L190" s="3">
        <v>4441.669921875</v>
      </c>
      <c r="N190" s="3">
        <f t="shared" si="70"/>
        <v>9.5242902688230657E-4</v>
      </c>
      <c r="O190" s="3">
        <f t="shared" si="78"/>
        <v>1.0204900898555636E-2</v>
      </c>
      <c r="P190" s="3">
        <f t="shared" si="79"/>
        <v>2.0391056172325506E-2</v>
      </c>
      <c r="Q190" s="3">
        <f t="shared" si="80"/>
        <v>1.8827744827037307E-2</v>
      </c>
      <c r="R190" s="3">
        <f t="shared" si="81"/>
        <v>3.7564966743012462E-2</v>
      </c>
      <c r="S190" s="3">
        <f t="shared" si="82"/>
        <v>1.9049966838152521E-2</v>
      </c>
      <c r="T190" s="3">
        <f t="shared" si="83"/>
        <v>1.1014089036337715E-2</v>
      </c>
      <c r="U190" s="3">
        <f t="shared" si="84"/>
        <v>5.3409645795852612E-2</v>
      </c>
      <c r="V190" s="3">
        <f t="shared" si="85"/>
        <v>1.2261772218753464E-3</v>
      </c>
      <c r="W190" s="3">
        <f t="shared" si="86"/>
        <v>1.2716114098626718E-2</v>
      </c>
      <c r="X190" s="3">
        <f t="shared" si="87"/>
        <v>8.4876679844114733E-3</v>
      </c>
      <c r="AK190" s="3"/>
      <c r="AL190" s="8"/>
      <c r="AW190" s="3"/>
      <c r="AY190" s="5"/>
      <c r="AZ190" s="28">
        <f t="shared" si="76"/>
        <v>44426</v>
      </c>
      <c r="BA190" s="3">
        <f t="shared" si="77"/>
        <v>185</v>
      </c>
      <c r="BB190" s="3">
        <f t="shared" si="71"/>
        <v>1.363123769600465</v>
      </c>
      <c r="BC190" s="3">
        <f t="shared" si="72"/>
        <v>1.3529754414875113</v>
      </c>
      <c r="BD190" s="3">
        <f t="shared" si="73"/>
        <v>1.453154980888288</v>
      </c>
      <c r="BE190" s="3">
        <f t="shared" si="74"/>
        <v>0.94529087982353632</v>
      </c>
      <c r="BG190" s="3">
        <f t="shared" si="75"/>
        <v>3.0859255891005355E-3</v>
      </c>
      <c r="BH190" s="3">
        <f t="shared" si="88"/>
        <v>2.8886275504494408E-3</v>
      </c>
      <c r="BI190" s="3">
        <f t="shared" si="89"/>
        <v>5.9469322771499855E-3</v>
      </c>
      <c r="BJ190" s="3">
        <f t="shared" si="90"/>
        <v>1.1444492425810471E-2</v>
      </c>
    </row>
    <row r="191" spans="1:62" x14ac:dyDescent="0.3">
      <c r="A191" s="27">
        <v>44431</v>
      </c>
      <c r="B191" s="3">
        <v>304.093658447265</v>
      </c>
      <c r="C191" s="3">
        <v>149.49183654785099</v>
      </c>
      <c r="D191" s="3">
        <v>3265.8701171875</v>
      </c>
      <c r="E191" s="3">
        <v>2800.830078125</v>
      </c>
      <c r="F191" s="3">
        <v>706.29998779296795</v>
      </c>
      <c r="G191" s="3">
        <v>2821.98999023437</v>
      </c>
      <c r="H191" s="3">
        <v>363.350006103515</v>
      </c>
      <c r="I191" s="3">
        <v>219.51441955566401</v>
      </c>
      <c r="J191" s="3">
        <v>285.61999511718699</v>
      </c>
      <c r="K191" s="3">
        <v>155.76139831542901</v>
      </c>
      <c r="L191" s="3">
        <v>4479.52978515625</v>
      </c>
      <c r="N191" s="3">
        <f t="shared" si="70"/>
        <v>-6.6857276012228795E-3</v>
      </c>
      <c r="O191" s="3">
        <f t="shared" si="78"/>
        <v>-6.0148142262139714E-4</v>
      </c>
      <c r="P191" s="3">
        <f t="shared" si="79"/>
        <v>1.2146234775451958E-2</v>
      </c>
      <c r="Q191" s="3">
        <f t="shared" si="80"/>
        <v>8.6739405805218439E-3</v>
      </c>
      <c r="R191" s="3">
        <f t="shared" si="81"/>
        <v>3.0958717895632759E-3</v>
      </c>
      <c r="S191" s="3">
        <f t="shared" si="82"/>
        <v>9.1641431217635017E-3</v>
      </c>
      <c r="T191" s="3">
        <f t="shared" si="83"/>
        <v>5.9270914539482078E-3</v>
      </c>
      <c r="U191" s="3">
        <f t="shared" si="84"/>
        <v>-7.5427832356584901E-3</v>
      </c>
      <c r="V191" s="3">
        <f t="shared" si="85"/>
        <v>1.3994611044374494E-3</v>
      </c>
      <c r="W191" s="3">
        <f t="shared" si="86"/>
        <v>6.1710773921630491E-3</v>
      </c>
      <c r="X191" s="3">
        <f t="shared" si="87"/>
        <v>1.4946188019617779E-3</v>
      </c>
      <c r="AK191" s="3"/>
      <c r="AL191" s="8"/>
      <c r="AW191" s="3"/>
      <c r="AY191" s="5"/>
      <c r="AZ191" s="28">
        <f t="shared" si="76"/>
        <v>44427</v>
      </c>
      <c r="BA191" s="3">
        <f t="shared" si="77"/>
        <v>186</v>
      </c>
      <c r="BB191" s="3">
        <f t="shared" si="71"/>
        <v>1.3673367652744244</v>
      </c>
      <c r="BC191" s="3">
        <f t="shared" si="72"/>
        <v>1.3568893337899262</v>
      </c>
      <c r="BD191" s="3">
        <f t="shared" si="73"/>
        <v>1.4618225423034703</v>
      </c>
      <c r="BE191" s="3">
        <f t="shared" si="74"/>
        <v>0.95617139637517556</v>
      </c>
      <c r="BG191" s="3">
        <f t="shared" si="75"/>
        <v>1.4712272993783082E-2</v>
      </c>
      <c r="BH191" s="3">
        <f t="shared" si="88"/>
        <v>1.266309723688458E-2</v>
      </c>
      <c r="BI191" s="3">
        <f t="shared" si="89"/>
        <v>1.6595029729310928E-2</v>
      </c>
      <c r="BJ191" s="3">
        <f t="shared" si="90"/>
        <v>2.1015104626304522E-2</v>
      </c>
    </row>
    <row r="192" spans="1:62" x14ac:dyDescent="0.3">
      <c r="A192" s="27">
        <v>44432</v>
      </c>
      <c r="B192" s="3">
        <v>302.06735229492102</v>
      </c>
      <c r="C192" s="3">
        <v>149.40194702148401</v>
      </c>
      <c r="D192" s="3">
        <v>3305.78002929687</v>
      </c>
      <c r="E192" s="3">
        <v>2825.22998046875</v>
      </c>
      <c r="F192" s="3">
        <v>708.489990234375</v>
      </c>
      <c r="G192" s="3">
        <v>2847.96997070312</v>
      </c>
      <c r="H192" s="3">
        <v>365.510009765625</v>
      </c>
      <c r="I192" s="3">
        <v>217.86489868164</v>
      </c>
      <c r="J192" s="3">
        <v>286.01998901367102</v>
      </c>
      <c r="K192" s="3">
        <v>156.7255859375</v>
      </c>
      <c r="L192" s="3">
        <v>4486.22998046875</v>
      </c>
      <c r="N192" s="3">
        <f t="shared" si="70"/>
        <v>-2.017664725875612E-3</v>
      </c>
      <c r="O192" s="3">
        <f t="shared" si="78"/>
        <v>-8.4569921293846662E-3</v>
      </c>
      <c r="P192" s="3">
        <f t="shared" si="79"/>
        <v>-1.9985283459948988E-3</v>
      </c>
      <c r="Q192" s="3">
        <f t="shared" si="80"/>
        <v>5.7704926958068725E-3</v>
      </c>
      <c r="R192" s="3">
        <f t="shared" si="81"/>
        <v>3.8177704423167924E-3</v>
      </c>
      <c r="S192" s="3">
        <f t="shared" si="82"/>
        <v>3.8654638407242814E-3</v>
      </c>
      <c r="T192" s="3">
        <f t="shared" si="83"/>
        <v>7.8485340533900327E-3</v>
      </c>
      <c r="U192" s="3">
        <f t="shared" si="84"/>
        <v>1.9088887454977943E-2</v>
      </c>
      <c r="V192" s="3">
        <f t="shared" si="85"/>
        <v>4.4652234627067244E-3</v>
      </c>
      <c r="W192" s="3">
        <f t="shared" si="86"/>
        <v>2.0403085092089768E-2</v>
      </c>
      <c r="X192" s="3">
        <f t="shared" si="87"/>
        <v>2.2176574032517493E-3</v>
      </c>
      <c r="AK192" s="3"/>
      <c r="AL192" s="8"/>
      <c r="AW192" s="3"/>
      <c r="AY192" s="5"/>
      <c r="AZ192" s="28">
        <f t="shared" si="76"/>
        <v>44428</v>
      </c>
      <c r="BA192" s="3">
        <f t="shared" si="77"/>
        <v>187</v>
      </c>
      <c r="BB192" s="3">
        <f t="shared" si="71"/>
        <v>1.3876021061165527</v>
      </c>
      <c r="BC192" s="3">
        <f t="shared" si="72"/>
        <v>1.374181007370187</v>
      </c>
      <c r="BD192" s="3">
        <f t="shared" si="73"/>
        <v>1.4862839382723427</v>
      </c>
      <c r="BE192" s="3">
        <f t="shared" si="74"/>
        <v>0.97647806434824291</v>
      </c>
      <c r="BG192" s="3">
        <f t="shared" si="75"/>
        <v>1.932406027012068E-2</v>
      </c>
      <c r="BH192" s="3">
        <f t="shared" si="88"/>
        <v>1.5245091601518879E-2</v>
      </c>
      <c r="BI192" s="3">
        <f t="shared" si="89"/>
        <v>2.113242482663219E-2</v>
      </c>
      <c r="BJ192" s="3">
        <f t="shared" si="90"/>
        <v>2.493308128035893E-2</v>
      </c>
    </row>
    <row r="193" spans="1:62" x14ac:dyDescent="0.3">
      <c r="A193" s="27">
        <v>44433</v>
      </c>
      <c r="B193" s="3">
        <v>301.45849609375</v>
      </c>
      <c r="C193" s="3">
        <v>148.143783569335</v>
      </c>
      <c r="D193" s="3">
        <v>3299.17993164062</v>
      </c>
      <c r="E193" s="3">
        <v>2841.580078125</v>
      </c>
      <c r="F193" s="3">
        <v>711.20001220703102</v>
      </c>
      <c r="G193" s="3">
        <v>2859</v>
      </c>
      <c r="H193" s="3">
        <v>368.39001464843699</v>
      </c>
      <c r="I193" s="3">
        <v>222.06364440917901</v>
      </c>
      <c r="J193" s="3">
        <v>287.29998779296801</v>
      </c>
      <c r="K193" s="3">
        <v>159.95611572265599</v>
      </c>
      <c r="L193" s="3">
        <v>4496.18994140625</v>
      </c>
      <c r="N193" s="3">
        <f t="shared" si="70"/>
        <v>-9.7156150391386475E-3</v>
      </c>
      <c r="O193" s="3">
        <f t="shared" si="78"/>
        <v>-5.5424063195204099E-3</v>
      </c>
      <c r="P193" s="3">
        <f t="shared" si="79"/>
        <v>5.0853052466859339E-3</v>
      </c>
      <c r="Q193" s="3">
        <f t="shared" si="80"/>
        <v>-4.5041137601362635E-3</v>
      </c>
      <c r="R193" s="3">
        <f t="shared" si="81"/>
        <v>-1.4217633310826372E-2</v>
      </c>
      <c r="S193" s="3">
        <f t="shared" si="82"/>
        <v>-5.802052658745005E-3</v>
      </c>
      <c r="T193" s="3">
        <f t="shared" si="83"/>
        <v>-1.0944906830009593E-2</v>
      </c>
      <c r="U193" s="3">
        <f t="shared" si="84"/>
        <v>-6.549120593466462E-3</v>
      </c>
      <c r="V193" s="3">
        <f t="shared" si="85"/>
        <v>-7.0908617890195202E-3</v>
      </c>
      <c r="W193" s="3">
        <f t="shared" si="86"/>
        <v>5.144675164374668E-3</v>
      </c>
      <c r="X193" s="3">
        <f t="shared" si="87"/>
        <v>-5.8419498276034432E-3</v>
      </c>
      <c r="AK193" s="3"/>
      <c r="AL193" s="8"/>
      <c r="AW193" s="3"/>
      <c r="AY193" s="5"/>
      <c r="AZ193" s="28">
        <f t="shared" si="76"/>
        <v>44431</v>
      </c>
      <c r="BA193" s="3">
        <f t="shared" si="77"/>
        <v>188</v>
      </c>
      <c r="BB193" s="3">
        <f t="shared" si="71"/>
        <v>1.4146769684642204</v>
      </c>
      <c r="BC193" s="3">
        <f t="shared" si="72"/>
        <v>1.3952910259363303</v>
      </c>
      <c r="BD193" s="3">
        <f t="shared" si="73"/>
        <v>1.5180269439035305</v>
      </c>
      <c r="BE193" s="3">
        <f t="shared" si="74"/>
        <v>1.0011307276085555</v>
      </c>
      <c r="BG193" s="3">
        <f t="shared" si="75"/>
        <v>2.937061664205709E-3</v>
      </c>
      <c r="BH193" s="3">
        <f t="shared" si="88"/>
        <v>3.1777266388091086E-3</v>
      </c>
      <c r="BI193" s="3">
        <f t="shared" si="89"/>
        <v>-5.0566402239204944E-4</v>
      </c>
      <c r="BJ193" s="3">
        <f t="shared" si="90"/>
        <v>-4.6605703700712126E-3</v>
      </c>
    </row>
    <row r="194" spans="1:62" x14ac:dyDescent="0.3">
      <c r="A194" s="27">
        <v>44434</v>
      </c>
      <c r="B194" s="3">
        <v>298.54382324218699</v>
      </c>
      <c r="C194" s="3">
        <v>147.32498168945301</v>
      </c>
      <c r="D194" s="3">
        <v>3316</v>
      </c>
      <c r="E194" s="3">
        <v>2828.81005859375</v>
      </c>
      <c r="F194" s="3">
        <v>701.15997314453102</v>
      </c>
      <c r="G194" s="3">
        <v>2842.4599609375</v>
      </c>
      <c r="H194" s="3">
        <v>364.38000488281199</v>
      </c>
      <c r="I194" s="3">
        <v>220.61407470703099</v>
      </c>
      <c r="J194" s="3">
        <v>285.26998901367102</v>
      </c>
      <c r="K194" s="3">
        <v>160.781158447265</v>
      </c>
      <c r="L194" s="3">
        <v>4470</v>
      </c>
      <c r="N194" s="3">
        <f t="shared" si="70"/>
        <v>2.1041595993889217E-3</v>
      </c>
      <c r="O194" s="3">
        <f t="shared" si="78"/>
        <v>7.1589178715099067E-3</v>
      </c>
      <c r="P194" s="3">
        <f t="shared" si="79"/>
        <v>1.0090619717722404E-2</v>
      </c>
      <c r="Q194" s="3">
        <f t="shared" si="80"/>
        <v>1.7961949429792234E-2</v>
      </c>
      <c r="R194" s="3">
        <f t="shared" si="81"/>
        <v>1.5229453490459122E-2</v>
      </c>
      <c r="S194" s="3">
        <f t="shared" si="82"/>
        <v>1.6936064735446621E-2</v>
      </c>
      <c r="T194" s="3">
        <f t="shared" si="83"/>
        <v>2.2388690789990839E-2</v>
      </c>
      <c r="U194" s="3">
        <f t="shared" si="84"/>
        <v>2.5412945206887194E-2</v>
      </c>
      <c r="V194" s="3">
        <f t="shared" si="85"/>
        <v>4.6514749829311697E-3</v>
      </c>
      <c r="W194" s="3">
        <f t="shared" si="86"/>
        <v>8.0049224645248884E-3</v>
      </c>
      <c r="X194" s="3">
        <f t="shared" si="87"/>
        <v>8.7690715404526998E-3</v>
      </c>
      <c r="AK194" s="3"/>
      <c r="AL194" s="8"/>
      <c r="AW194" s="3"/>
      <c r="AY194" s="5"/>
      <c r="AZ194" s="28">
        <f t="shared" si="76"/>
        <v>44432</v>
      </c>
      <c r="BA194" s="3">
        <f t="shared" si="77"/>
        <v>189</v>
      </c>
      <c r="BB194" s="3">
        <f t="shared" si="71"/>
        <v>1.4188380696696945</v>
      </c>
      <c r="BC194" s="3">
        <f t="shared" si="72"/>
        <v>1.3997319316535366</v>
      </c>
      <c r="BD194" s="3">
        <f t="shared" si="73"/>
        <v>1.5172595263370556</v>
      </c>
      <c r="BE194" s="3">
        <f t="shared" si="74"/>
        <v>0.99647574326981037</v>
      </c>
      <c r="BG194" s="3">
        <f t="shared" si="75"/>
        <v>5.8179152481995788E-3</v>
      </c>
      <c r="BH194" s="3">
        <f t="shared" si="88"/>
        <v>5.167228531722412E-3</v>
      </c>
      <c r="BI194" s="3">
        <f t="shared" si="89"/>
        <v>8.5860626402664009E-3</v>
      </c>
      <c r="BJ194" s="3">
        <f t="shared" si="90"/>
        <v>1.0914941737740618E-2</v>
      </c>
    </row>
    <row r="195" spans="1:62" x14ac:dyDescent="0.3">
      <c r="A195" s="27">
        <v>44435</v>
      </c>
      <c r="B195" s="3">
        <v>299.17266845703102</v>
      </c>
      <c r="C195" s="3">
        <v>148.38345336914</v>
      </c>
      <c r="D195" s="3">
        <v>3349.6298828125</v>
      </c>
      <c r="E195" s="3">
        <v>2880.080078125</v>
      </c>
      <c r="F195" s="3">
        <v>711.91998291015602</v>
      </c>
      <c r="G195" s="3">
        <v>2891.01000976562</v>
      </c>
      <c r="H195" s="3">
        <v>372.63000488281199</v>
      </c>
      <c r="I195" s="3">
        <v>226.29237365722599</v>
      </c>
      <c r="J195" s="3">
        <v>286.600006103515</v>
      </c>
      <c r="K195" s="3">
        <v>162.07336425781199</v>
      </c>
      <c r="L195" s="3">
        <v>4509.3701171875</v>
      </c>
      <c r="N195" s="3">
        <f t="shared" si="70"/>
        <v>1.2829342707084024E-2</v>
      </c>
      <c r="O195" s="3">
        <f t="shared" si="78"/>
        <v>2.9963690545859123E-2</v>
      </c>
      <c r="P195" s="3">
        <f t="shared" si="79"/>
        <v>2.1249673052384566E-2</v>
      </c>
      <c r="Q195" s="3">
        <f t="shared" si="80"/>
        <v>4.0645252558615397E-3</v>
      </c>
      <c r="R195" s="3">
        <f t="shared" si="81"/>
        <v>2.632477486913043E-2</v>
      </c>
      <c r="S195" s="3">
        <f t="shared" si="82"/>
        <v>6.3374748771609646E-3</v>
      </c>
      <c r="T195" s="3">
        <f t="shared" si="83"/>
        <v>2.1320614552198691E-2</v>
      </c>
      <c r="U195" s="3">
        <f t="shared" si="84"/>
        <v>2.2946220974846554E-3</v>
      </c>
      <c r="V195" s="3">
        <f t="shared" si="85"/>
        <v>-3.2852314360560797E-3</v>
      </c>
      <c r="W195" s="3">
        <f t="shared" si="86"/>
        <v>-1.6136821899999099E-2</v>
      </c>
      <c r="X195" s="3">
        <f t="shared" si="87"/>
        <v>4.2973241068740009E-3</v>
      </c>
      <c r="AK195" s="3"/>
      <c r="AL195" s="8"/>
      <c r="AW195" s="3"/>
      <c r="AY195" s="5"/>
      <c r="AZ195" s="28">
        <f t="shared" si="76"/>
        <v>44433</v>
      </c>
      <c r="BA195" s="3">
        <f t="shared" si="77"/>
        <v>190</v>
      </c>
      <c r="BB195" s="3">
        <f t="shared" si="71"/>
        <v>1.4271168084586254</v>
      </c>
      <c r="BC195" s="3">
        <f t="shared" si="72"/>
        <v>1.4069833852518761</v>
      </c>
      <c r="BD195" s="3">
        <f t="shared" si="73"/>
        <v>1.5303428986227896</v>
      </c>
      <c r="BE195" s="3">
        <f t="shared" si="74"/>
        <v>1.0074117925481905</v>
      </c>
      <c r="BG195" s="3">
        <f t="shared" si="75"/>
        <v>-5.6521874762299196E-3</v>
      </c>
      <c r="BH195" s="3">
        <f t="shared" si="88"/>
        <v>-5.0751536645342599E-3</v>
      </c>
      <c r="BI195" s="3">
        <f t="shared" si="89"/>
        <v>-3.8821120566933098E-3</v>
      </c>
      <c r="BJ195" s="3">
        <f t="shared" si="90"/>
        <v>-2.248333444552642E-3</v>
      </c>
    </row>
    <row r="196" spans="1:62" x14ac:dyDescent="0.3">
      <c r="A196" s="27">
        <v>44438</v>
      </c>
      <c r="B196" s="3">
        <v>303.03558349609301</v>
      </c>
      <c r="C196" s="3">
        <v>152.89685058593699</v>
      </c>
      <c r="D196" s="3">
        <v>3421.57006835937</v>
      </c>
      <c r="E196" s="3">
        <v>2891.81005859375</v>
      </c>
      <c r="F196" s="3">
        <v>730.90997314453102</v>
      </c>
      <c r="G196" s="3">
        <v>2909.38989257812</v>
      </c>
      <c r="H196" s="3">
        <v>380.66000366210898</v>
      </c>
      <c r="I196" s="3">
        <v>226.81222534179599</v>
      </c>
      <c r="J196" s="3">
        <v>285.66000366210898</v>
      </c>
      <c r="K196" s="3">
        <v>159.47900390625</v>
      </c>
      <c r="L196" s="3">
        <v>4528.7900390625</v>
      </c>
      <c r="N196" s="3">
        <f t="shared" ref="N196:N253" si="91">LN(B197)-LN(B196)</f>
        <v>-5.6484230763995669E-3</v>
      </c>
      <c r="O196" s="3">
        <f t="shared" si="78"/>
        <v>-8.4604303054822694E-3</v>
      </c>
      <c r="P196" s="3">
        <f t="shared" si="79"/>
        <v>1.4282714964402032E-2</v>
      </c>
      <c r="Q196" s="3">
        <f t="shared" si="80"/>
        <v>7.3971014078733077E-4</v>
      </c>
      <c r="R196" s="3">
        <f t="shared" si="81"/>
        <v>6.5592753294598793E-3</v>
      </c>
      <c r="S196" s="3">
        <f t="shared" si="82"/>
        <v>-5.1524962681348541E-5</v>
      </c>
      <c r="T196" s="3">
        <f t="shared" si="83"/>
        <v>-3.3682437109767704E-3</v>
      </c>
      <c r="U196" s="3">
        <f t="shared" si="84"/>
        <v>-1.3268694334154674E-2</v>
      </c>
      <c r="V196" s="3">
        <f t="shared" si="85"/>
        <v>3.8494777778552702E-4</v>
      </c>
      <c r="W196" s="3">
        <f t="shared" si="86"/>
        <v>-3.058842340011303E-3</v>
      </c>
      <c r="X196" s="3">
        <f t="shared" si="87"/>
        <v>-1.3500269158921441E-3</v>
      </c>
      <c r="AK196" s="3"/>
      <c r="AL196" s="8"/>
      <c r="AW196" s="3"/>
      <c r="AY196" s="5"/>
      <c r="AZ196" s="28">
        <f t="shared" si="76"/>
        <v>44434</v>
      </c>
      <c r="BA196" s="3">
        <f t="shared" si="77"/>
        <v>191</v>
      </c>
      <c r="BB196" s="3">
        <f t="shared" si="71"/>
        <v>1.4190732300275295</v>
      </c>
      <c r="BC196" s="3">
        <f t="shared" si="72"/>
        <v>1.3998608177187353</v>
      </c>
      <c r="BD196" s="3">
        <f t="shared" si="73"/>
        <v>1.5244134528384417</v>
      </c>
      <c r="BE196" s="3">
        <f t="shared" si="74"/>
        <v>1.0051493392503348</v>
      </c>
      <c r="BG196" s="3">
        <f t="shared" si="75"/>
        <v>1.3561535346492848E-2</v>
      </c>
      <c r="BH196" s="3">
        <f t="shared" si="88"/>
        <v>1.19580102995267E-2</v>
      </c>
      <c r="BI196" s="3">
        <f t="shared" si="89"/>
        <v>1.0882646487263781E-2</v>
      </c>
      <c r="BJ196" s="3">
        <f t="shared" si="90"/>
        <v>8.801622865669937E-3</v>
      </c>
    </row>
    <row r="197" spans="1:62" x14ac:dyDescent="0.3">
      <c r="A197" s="27">
        <v>44439</v>
      </c>
      <c r="B197" s="3">
        <v>301.32873535156199</v>
      </c>
      <c r="C197" s="3">
        <v>151.60873413085901</v>
      </c>
      <c r="D197" s="3">
        <v>3470.7900390625</v>
      </c>
      <c r="E197" s="3">
        <v>2893.94995117187</v>
      </c>
      <c r="F197" s="3">
        <v>735.719970703125</v>
      </c>
      <c r="G197" s="3">
        <v>2909.23999023437</v>
      </c>
      <c r="H197" s="3">
        <v>379.38000488281199</v>
      </c>
      <c r="I197" s="3">
        <v>223.82260131835901</v>
      </c>
      <c r="J197" s="3">
        <v>285.76998901367102</v>
      </c>
      <c r="K197" s="3">
        <v>158.991928100585</v>
      </c>
      <c r="L197" s="3">
        <v>4522.68017578125</v>
      </c>
      <c r="N197" s="3">
        <f t="shared" si="91"/>
        <v>-1.657023992747142E-4</v>
      </c>
      <c r="O197" s="3">
        <f t="shared" si="78"/>
        <v>4.4686401679223664E-3</v>
      </c>
      <c r="P197" s="3">
        <f t="shared" si="79"/>
        <v>2.3626511622474311E-3</v>
      </c>
      <c r="Q197" s="3">
        <f t="shared" si="80"/>
        <v>3.5735266888314854E-3</v>
      </c>
      <c r="R197" s="3">
        <f t="shared" si="81"/>
        <v>-2.2178982569380779E-3</v>
      </c>
      <c r="S197" s="3">
        <f t="shared" si="82"/>
        <v>2.6089933078141669E-3</v>
      </c>
      <c r="T197" s="3">
        <f t="shared" si="83"/>
        <v>7.0131039730947364E-3</v>
      </c>
      <c r="U197" s="3">
        <f t="shared" si="84"/>
        <v>2.4985058227411372E-3</v>
      </c>
      <c r="V197" s="3">
        <f t="shared" si="85"/>
        <v>-1.7861737026896307E-3</v>
      </c>
      <c r="W197" s="3">
        <f t="shared" si="86"/>
        <v>-1.4389848013811601E-3</v>
      </c>
      <c r="X197" s="3">
        <f t="shared" si="87"/>
        <v>3.1164006095174557E-4</v>
      </c>
      <c r="AK197" s="3"/>
      <c r="AL197" s="8"/>
      <c r="AW197" s="3"/>
      <c r="AY197" s="5"/>
      <c r="AZ197" s="28">
        <f t="shared" si="76"/>
        <v>44435</v>
      </c>
      <c r="BA197" s="3">
        <f t="shared" si="77"/>
        <v>192</v>
      </c>
      <c r="BB197" s="3">
        <f t="shared" si="71"/>
        <v>1.4384491283011236</v>
      </c>
      <c r="BC197" s="3">
        <f t="shared" si="72"/>
        <v>1.4167008537890939</v>
      </c>
      <c r="BD197" s="3">
        <f t="shared" si="73"/>
        <v>1.5410937035594474</v>
      </c>
      <c r="BE197" s="3">
        <f t="shared" si="74"/>
        <v>1.0140353328750722</v>
      </c>
      <c r="BG197" s="3">
        <f t="shared" si="75"/>
        <v>9.8863234822872958E-3</v>
      </c>
      <c r="BH197" s="3">
        <f t="shared" si="88"/>
        <v>8.1142495229214462E-3</v>
      </c>
      <c r="BI197" s="3">
        <f t="shared" si="89"/>
        <v>5.0996727033935652E-3</v>
      </c>
      <c r="BJ197" s="3">
        <f t="shared" si="90"/>
        <v>2.2961253925963959E-3</v>
      </c>
    </row>
    <row r="198" spans="1:62" x14ac:dyDescent="0.3">
      <c r="A198" s="27">
        <v>44440</v>
      </c>
      <c r="B198" s="3">
        <v>301.27880859375</v>
      </c>
      <c r="C198" s="3">
        <v>152.28773498535099</v>
      </c>
      <c r="D198" s="3">
        <v>3479</v>
      </c>
      <c r="E198" s="3">
        <v>2904.31005859375</v>
      </c>
      <c r="F198" s="3">
        <v>734.09002685546795</v>
      </c>
      <c r="G198" s="3">
        <v>2916.84008789062</v>
      </c>
      <c r="H198" s="3">
        <v>382.04998779296801</v>
      </c>
      <c r="I198" s="3">
        <v>224.38252258300699</v>
      </c>
      <c r="J198" s="3">
        <v>285.260009765625</v>
      </c>
      <c r="K198" s="3">
        <v>158.76330566406199</v>
      </c>
      <c r="L198" s="3">
        <v>4524.08984375</v>
      </c>
      <c r="N198" s="3">
        <f t="shared" si="91"/>
        <v>-2.2555112737885352E-3</v>
      </c>
      <c r="O198" s="3">
        <f t="shared" si="78"/>
        <v>7.4471052316171793E-3</v>
      </c>
      <c r="P198" s="3">
        <f t="shared" si="79"/>
        <v>-4.5749454753742924E-3</v>
      </c>
      <c r="Q198" s="3">
        <f t="shared" si="80"/>
        <v>-1.3369257640040821E-2</v>
      </c>
      <c r="R198" s="3">
        <f t="shared" si="81"/>
        <v>-2.3184945180849681E-3</v>
      </c>
      <c r="S198" s="3">
        <f t="shared" si="82"/>
        <v>-1.1190937082118602E-2</v>
      </c>
      <c r="T198" s="3">
        <f t="shared" si="83"/>
        <v>-1.787904737475543E-2</v>
      </c>
      <c r="U198" s="3">
        <f t="shared" si="84"/>
        <v>-2.0072313195100833E-3</v>
      </c>
      <c r="V198" s="3">
        <f t="shared" si="85"/>
        <v>-7.3651867598378828E-4</v>
      </c>
      <c r="W198" s="3">
        <f t="shared" si="86"/>
        <v>4.6224890869135393E-3</v>
      </c>
      <c r="X198" s="3">
        <f t="shared" si="87"/>
        <v>2.8386057544054211E-3</v>
      </c>
      <c r="AK198" s="3"/>
      <c r="AL198" s="8"/>
      <c r="AW198" s="3"/>
      <c r="AY198" s="5"/>
      <c r="AZ198" s="28">
        <f t="shared" si="76"/>
        <v>44438</v>
      </c>
      <c r="BA198" s="3">
        <f t="shared" si="77"/>
        <v>193</v>
      </c>
      <c r="BB198" s="3">
        <f t="shared" ref="BB198:BB256" si="92">SUMPRODUCT($AM$5:$AV$5,B196:K196)</f>
        <v>1.4527406304998431</v>
      </c>
      <c r="BC198" s="3">
        <f t="shared" ref="BC198:BC256" si="93">SUMPRODUCT($AM$13:$AV$13,B196:K196)</f>
        <v>1.4282430829505077</v>
      </c>
      <c r="BD198" s="3">
        <f t="shared" ref="BD198:BD256" si="94">SUMPRODUCT($AM$30:$AV$30,B196:K196)</f>
        <v>1.5489728505123304</v>
      </c>
      <c r="BE198" s="3">
        <f t="shared" ref="BE198:BE256" si="95">SUMPRODUCT($AM$41:$AV$41,B196:K196)</f>
        <v>1.0163663602933644</v>
      </c>
      <c r="BG198" s="3">
        <f t="shared" ref="BG198:BG255" si="96">LN(BB199)-LN(BB198)</f>
        <v>-1.6440643878828376E-3</v>
      </c>
      <c r="BH198" s="3">
        <f t="shared" si="88"/>
        <v>-1.4728520026694447E-3</v>
      </c>
      <c r="BI198" s="3">
        <f t="shared" si="89"/>
        <v>-3.9706183148359164E-3</v>
      </c>
      <c r="BJ198" s="3">
        <f t="shared" si="90"/>
        <v>-6.6649991356921914E-3</v>
      </c>
    </row>
    <row r="199" spans="1:62" x14ac:dyDescent="0.3">
      <c r="A199" s="27">
        <v>44441</v>
      </c>
      <c r="B199" s="3">
        <v>300.60003662109301</v>
      </c>
      <c r="C199" s="3">
        <v>153.42607116699199</v>
      </c>
      <c r="D199" s="3">
        <v>3463.1201171875</v>
      </c>
      <c r="E199" s="3">
        <v>2865.73999023437</v>
      </c>
      <c r="F199" s="3">
        <v>732.39001464843705</v>
      </c>
      <c r="G199" s="3">
        <v>2884.3798828125</v>
      </c>
      <c r="H199" s="3">
        <v>375.27999877929602</v>
      </c>
      <c r="I199" s="3">
        <v>223.93258666992099</v>
      </c>
      <c r="J199" s="3">
        <v>285.04998779296801</v>
      </c>
      <c r="K199" s="3">
        <v>159.49888610839801</v>
      </c>
      <c r="L199" s="3">
        <v>4536.9501953125</v>
      </c>
      <c r="N199" s="3">
        <f t="shared" si="91"/>
        <v>-3.309678606910893E-5</v>
      </c>
      <c r="O199" s="3">
        <f t="shared" si="78"/>
        <v>4.221538405656311E-3</v>
      </c>
      <c r="P199" s="3">
        <f t="shared" si="79"/>
        <v>4.3018552514677566E-3</v>
      </c>
      <c r="Q199" s="3">
        <f t="shared" si="80"/>
        <v>3.1530385799385385E-3</v>
      </c>
      <c r="R199" s="3">
        <f t="shared" si="81"/>
        <v>1.6098569032410026E-3</v>
      </c>
      <c r="S199" s="3">
        <f t="shared" si="82"/>
        <v>3.8478761266560468E-3</v>
      </c>
      <c r="T199" s="3">
        <f t="shared" si="83"/>
        <v>2.6080089700233344E-3</v>
      </c>
      <c r="U199" s="3">
        <f t="shared" si="84"/>
        <v>1.9762282198241721E-2</v>
      </c>
      <c r="V199" s="3">
        <f t="shared" si="85"/>
        <v>-1.1147584769654273E-2</v>
      </c>
      <c r="W199" s="3">
        <f t="shared" si="86"/>
        <v>-6.0634513009825142E-3</v>
      </c>
      <c r="X199" s="3">
        <f t="shared" si="87"/>
        <v>-3.3508726118114396E-4</v>
      </c>
      <c r="AK199" s="3"/>
      <c r="AL199" s="8"/>
      <c r="AW199" s="3"/>
      <c r="AY199" s="5"/>
      <c r="AZ199" s="28">
        <f t="shared" ref="AZ199:AZ239" si="97">A197</f>
        <v>44439</v>
      </c>
      <c r="BA199" s="3">
        <f t="shared" ref="BA199:BA239" si="98">BA198+1</f>
        <v>194</v>
      </c>
      <c r="BB199" s="3">
        <f t="shared" si="92"/>
        <v>1.4503541936298783</v>
      </c>
      <c r="BC199" s="3">
        <f t="shared" si="93"/>
        <v>1.4261410406440911</v>
      </c>
      <c r="BD199" s="3">
        <f t="shared" si="94"/>
        <v>1.5428346648036535</v>
      </c>
      <c r="BE199" s="3">
        <f t="shared" si="95"/>
        <v>1.0096148039323558</v>
      </c>
      <c r="BG199" s="3">
        <f t="shared" si="96"/>
        <v>1.7306732693680438E-3</v>
      </c>
      <c r="BH199" s="3">
        <f t="shared" si="88"/>
        <v>1.5750307515522977E-3</v>
      </c>
      <c r="BI199" s="3">
        <f t="shared" si="89"/>
        <v>2.4692450054458748E-4</v>
      </c>
      <c r="BJ199" s="3">
        <f t="shared" si="90"/>
        <v>-9.4249646668692622E-4</v>
      </c>
    </row>
    <row r="200" spans="1:62" x14ac:dyDescent="0.3">
      <c r="A200" s="27">
        <v>44442</v>
      </c>
      <c r="B200" s="3">
        <v>300.590087890625</v>
      </c>
      <c r="C200" s="3">
        <v>154.07513427734301</v>
      </c>
      <c r="D200" s="3">
        <v>3478.05004882812</v>
      </c>
      <c r="E200" s="3">
        <v>2874.7900390625</v>
      </c>
      <c r="F200" s="3">
        <v>733.57000732421795</v>
      </c>
      <c r="G200" s="3">
        <v>2895.5</v>
      </c>
      <c r="H200" s="3">
        <v>376.260009765625</v>
      </c>
      <c r="I200" s="3">
        <v>228.40202331542901</v>
      </c>
      <c r="J200" s="3">
        <v>281.89001464843699</v>
      </c>
      <c r="K200" s="3">
        <v>158.53469848632801</v>
      </c>
      <c r="L200" s="3">
        <v>4535.43017578125</v>
      </c>
      <c r="N200" s="3">
        <f t="shared" si="91"/>
        <v>-3.1930967383688724E-3</v>
      </c>
      <c r="O200" s="3">
        <f t="shared" si="78"/>
        <v>1.5370593476818684E-2</v>
      </c>
      <c r="P200" s="3">
        <f t="shared" si="79"/>
        <v>8.9419429995682975E-3</v>
      </c>
      <c r="Q200" s="3">
        <f t="shared" si="80"/>
        <v>3.7567116205163842E-3</v>
      </c>
      <c r="R200" s="3">
        <f t="shared" si="81"/>
        <v>2.6035921887761937E-2</v>
      </c>
      <c r="S200" s="3">
        <f t="shared" si="82"/>
        <v>5.1258089013987984E-3</v>
      </c>
      <c r="T200" s="3">
        <f t="shared" si="83"/>
        <v>1.5611262911463974E-2</v>
      </c>
      <c r="U200" s="3">
        <f t="shared" si="84"/>
        <v>-7.9551691467871777E-3</v>
      </c>
      <c r="V200" s="3">
        <f t="shared" si="85"/>
        <v>-1.0663703134559555E-2</v>
      </c>
      <c r="W200" s="3">
        <f t="shared" si="86"/>
        <v>-1.7571226250643335E-3</v>
      </c>
      <c r="X200" s="3">
        <f t="shared" si="87"/>
        <v>-3.4013524523217598E-3</v>
      </c>
      <c r="AK200" s="3"/>
      <c r="AL200" s="8"/>
      <c r="AW200" s="3"/>
      <c r="AY200" s="5"/>
      <c r="AZ200" s="28">
        <f t="shared" si="97"/>
        <v>44440</v>
      </c>
      <c r="BA200" s="3">
        <f t="shared" si="98"/>
        <v>195</v>
      </c>
      <c r="BB200" s="3">
        <f t="shared" si="92"/>
        <v>1.4528664561896714</v>
      </c>
      <c r="BC200" s="3">
        <f t="shared" si="93"/>
        <v>1.4283890264978618</v>
      </c>
      <c r="BD200" s="3">
        <f t="shared" si="94"/>
        <v>1.5432156755211877</v>
      </c>
      <c r="BE200" s="3">
        <f t="shared" si="95"/>
        <v>1.0086636938262978</v>
      </c>
      <c r="BG200" s="3">
        <f t="shared" si="96"/>
        <v>-4.5406577704639184E-3</v>
      </c>
      <c r="BH200" s="3">
        <f t="shared" si="88"/>
        <v>-4.3134253962932023E-3</v>
      </c>
      <c r="BI200" s="3">
        <f t="shared" si="89"/>
        <v>2.0488366022497484E-3</v>
      </c>
      <c r="BJ200" s="3">
        <f t="shared" si="90"/>
        <v>8.7602693257658633E-3</v>
      </c>
    </row>
    <row r="201" spans="1:62" x14ac:dyDescent="0.3">
      <c r="A201" s="27">
        <v>44446</v>
      </c>
      <c r="B201" s="3">
        <v>299.63180541992102</v>
      </c>
      <c r="C201" s="3">
        <v>156.461654663085</v>
      </c>
      <c r="D201" s="3">
        <v>3509.2900390625</v>
      </c>
      <c r="E201" s="3">
        <v>2885.61010742187</v>
      </c>
      <c r="F201" s="3">
        <v>752.91998291015602</v>
      </c>
      <c r="G201" s="3">
        <v>2910.3798828125</v>
      </c>
      <c r="H201" s="3">
        <v>382.17999267578102</v>
      </c>
      <c r="I201" s="3">
        <v>226.59225463867099</v>
      </c>
      <c r="J201" s="3">
        <v>278.89999389648398</v>
      </c>
      <c r="K201" s="3">
        <v>158.25637817382801</v>
      </c>
      <c r="L201" s="3">
        <v>4520.02978515625</v>
      </c>
      <c r="N201" s="3">
        <f t="shared" si="91"/>
        <v>9.9910116625245848E-5</v>
      </c>
      <c r="O201" s="3">
        <f t="shared" si="78"/>
        <v>-1.0134790403605543E-2</v>
      </c>
      <c r="P201" s="3">
        <f t="shared" si="79"/>
        <v>4.6085212314928015E-3</v>
      </c>
      <c r="Q201" s="3">
        <f t="shared" si="80"/>
        <v>-4.0941743094835559E-3</v>
      </c>
      <c r="R201" s="3">
        <f t="shared" si="81"/>
        <v>1.260975114999674E-3</v>
      </c>
      <c r="S201" s="3">
        <f t="shared" si="82"/>
        <v>-4.3766777674107971E-3</v>
      </c>
      <c r="T201" s="3">
        <f t="shared" si="83"/>
        <v>-1.2135681288050648E-2</v>
      </c>
      <c r="U201" s="3">
        <f t="shared" si="84"/>
        <v>-1.4355458237336194E-2</v>
      </c>
      <c r="V201" s="3">
        <f t="shared" si="85"/>
        <v>1.5763920185616342E-3</v>
      </c>
      <c r="W201" s="3">
        <f t="shared" si="86"/>
        <v>-4.4696030440976031E-3</v>
      </c>
      <c r="X201" s="3">
        <f t="shared" si="87"/>
        <v>-1.3194368138158552E-3</v>
      </c>
      <c r="AK201" s="3"/>
      <c r="AL201" s="8"/>
      <c r="AW201" s="3"/>
      <c r="AY201" s="5"/>
      <c r="AZ201" s="28">
        <f t="shared" si="97"/>
        <v>44441</v>
      </c>
      <c r="BA201" s="3">
        <f t="shared" si="98"/>
        <v>196</v>
      </c>
      <c r="BB201" s="3">
        <f t="shared" si="92"/>
        <v>1.4462844414728222</v>
      </c>
      <c r="BC201" s="3">
        <f t="shared" si="93"/>
        <v>1.4222410459551396</v>
      </c>
      <c r="BD201" s="3">
        <f t="shared" si="94"/>
        <v>1.5463807134980234</v>
      </c>
      <c r="BE201" s="3">
        <f t="shared" si="95"/>
        <v>1.0175386763045684</v>
      </c>
      <c r="BG201" s="3">
        <f t="shared" si="96"/>
        <v>2.7354287895591245E-3</v>
      </c>
      <c r="BH201" s="3">
        <f t="shared" si="88"/>
        <v>1.0452744668058012E-3</v>
      </c>
      <c r="BI201" s="3">
        <f t="shared" si="89"/>
        <v>2.1515431069782376E-3</v>
      </c>
      <c r="BJ201" s="3">
        <f t="shared" si="90"/>
        <v>3.2396668036585342E-3</v>
      </c>
    </row>
    <row r="202" spans="1:62" x14ac:dyDescent="0.3">
      <c r="A202" s="27">
        <v>44447</v>
      </c>
      <c r="B202" s="3">
        <v>299.66174316406199</v>
      </c>
      <c r="C202" s="3">
        <v>154.88395690917901</v>
      </c>
      <c r="D202" s="3">
        <v>3525.5</v>
      </c>
      <c r="E202" s="3">
        <v>2873.82006835937</v>
      </c>
      <c r="F202" s="3">
        <v>753.86999511718705</v>
      </c>
      <c r="G202" s="3">
        <v>2897.669921875</v>
      </c>
      <c r="H202" s="3">
        <v>377.57000732421801</v>
      </c>
      <c r="I202" s="3">
        <v>223.36265563964801</v>
      </c>
      <c r="J202" s="3">
        <v>279.33999633789</v>
      </c>
      <c r="K202" s="3">
        <v>157.55061340332</v>
      </c>
      <c r="L202" s="3">
        <v>4514.06982421875</v>
      </c>
      <c r="N202" s="3">
        <f t="shared" si="91"/>
        <v>-9.9085762706536684E-3</v>
      </c>
      <c r="O202" s="3">
        <f t="shared" si="78"/>
        <v>-6.7274867761497603E-3</v>
      </c>
      <c r="P202" s="3">
        <f t="shared" si="79"/>
        <v>-1.1795313241933059E-2</v>
      </c>
      <c r="Q202" s="3">
        <f t="shared" si="80"/>
        <v>-1.0444519417474041E-3</v>
      </c>
      <c r="R202" s="3">
        <f t="shared" si="81"/>
        <v>1.3123493127018548E-3</v>
      </c>
      <c r="S202" s="3">
        <f t="shared" si="82"/>
        <v>2.0707518175111517E-4</v>
      </c>
      <c r="T202" s="3">
        <f t="shared" si="83"/>
        <v>1.1381942587309624E-3</v>
      </c>
      <c r="U202" s="3">
        <f t="shared" si="84"/>
        <v>-7.2782917784195433E-3</v>
      </c>
      <c r="V202" s="3">
        <f t="shared" si="85"/>
        <v>-2.6167628885902516E-3</v>
      </c>
      <c r="W202" s="3">
        <f t="shared" si="86"/>
        <v>4.3438658566348209E-3</v>
      </c>
      <c r="X202" s="3">
        <f t="shared" si="87"/>
        <v>-4.6162471500021951E-3</v>
      </c>
      <c r="AK202" s="3"/>
      <c r="AL202" s="8"/>
      <c r="AW202" s="3"/>
      <c r="AY202" s="5"/>
      <c r="AZ202" s="28">
        <f t="shared" si="97"/>
        <v>44442</v>
      </c>
      <c r="BA202" s="3">
        <f t="shared" si="98"/>
        <v>197</v>
      </c>
      <c r="BB202" s="3">
        <f t="shared" si="92"/>
        <v>1.4502460654718279</v>
      </c>
      <c r="BC202" s="3">
        <f t="shared" si="93"/>
        <v>1.4237284554462726</v>
      </c>
      <c r="BD202" s="3">
        <f t="shared" si="94"/>
        <v>1.5497114000358947</v>
      </c>
      <c r="BE202" s="3">
        <f t="shared" si="95"/>
        <v>1.020840508105221</v>
      </c>
      <c r="BG202" s="3">
        <f t="shared" si="96"/>
        <v>4.9996190674977403E-3</v>
      </c>
      <c r="BH202" s="3">
        <f t="shared" si="88"/>
        <v>3.075993735435878E-3</v>
      </c>
      <c r="BI202" s="3">
        <f t="shared" si="89"/>
        <v>-2.1330891218795944E-4</v>
      </c>
      <c r="BJ202" s="3">
        <f t="shared" si="90"/>
        <v>-5.1704254735449855E-3</v>
      </c>
    </row>
    <row r="203" spans="1:62" x14ac:dyDescent="0.3">
      <c r="A203" s="27">
        <v>44448</v>
      </c>
      <c r="B203" s="3">
        <v>296.70718383789</v>
      </c>
      <c r="C203" s="3">
        <v>153.84547424316401</v>
      </c>
      <c r="D203" s="3">
        <v>3484.15991210937</v>
      </c>
      <c r="E203" s="3">
        <v>2870.82006835937</v>
      </c>
      <c r="F203" s="3">
        <v>754.85998535156205</v>
      </c>
      <c r="G203" s="3">
        <v>2898.27001953125</v>
      </c>
      <c r="H203" s="3">
        <v>378</v>
      </c>
      <c r="I203" s="3">
        <v>221.74285888671801</v>
      </c>
      <c r="J203" s="3">
        <v>278.60998535156199</v>
      </c>
      <c r="K203" s="3">
        <v>158.23648071289</v>
      </c>
      <c r="L203" s="3">
        <v>4493.27978515625</v>
      </c>
      <c r="N203" s="3">
        <f t="shared" si="91"/>
        <v>-5.1943358195840617E-3</v>
      </c>
      <c r="O203" s="3">
        <f t="shared" si="78"/>
        <v>-3.366215019759089E-2</v>
      </c>
      <c r="P203" s="3">
        <f t="shared" si="79"/>
        <v>-4.3173779053109484E-3</v>
      </c>
      <c r="Q203" s="3">
        <f t="shared" si="80"/>
        <v>-1.8740654730240891E-2</v>
      </c>
      <c r="R203" s="3">
        <f t="shared" si="81"/>
        <v>-2.4935356375547002E-2</v>
      </c>
      <c r="S203" s="3">
        <f t="shared" si="82"/>
        <v>-2.0866482192039904E-2</v>
      </c>
      <c r="T203" s="3">
        <f t="shared" si="83"/>
        <v>1.8237392602697966E-3</v>
      </c>
      <c r="U203" s="3">
        <f t="shared" si="84"/>
        <v>1.3481254610916871E-2</v>
      </c>
      <c r="V203" s="3">
        <f t="shared" si="85"/>
        <v>-3.6316512597940331E-3</v>
      </c>
      <c r="W203" s="3">
        <f t="shared" si="86"/>
        <v>-1.1562232975323106E-2</v>
      </c>
      <c r="X203" s="3">
        <f t="shared" si="87"/>
        <v>-7.7525522862771368E-3</v>
      </c>
      <c r="AK203" s="3"/>
      <c r="AL203" s="8"/>
      <c r="AW203" s="3"/>
      <c r="AY203" s="5"/>
      <c r="AZ203" s="28">
        <f t="shared" si="97"/>
        <v>44446</v>
      </c>
      <c r="BA203" s="3">
        <f t="shared" si="98"/>
        <v>198</v>
      </c>
      <c r="BB203" s="3">
        <f t="shared" si="92"/>
        <v>1.4575148989113664</v>
      </c>
      <c r="BC203" s="3">
        <f t="shared" si="93"/>
        <v>1.4281145776400217</v>
      </c>
      <c r="BD203" s="3">
        <f t="shared" si="94"/>
        <v>1.5493808680369117</v>
      </c>
      <c r="BE203" s="3">
        <f t="shared" si="95"/>
        <v>1.0155759500684227</v>
      </c>
      <c r="BG203" s="3">
        <f t="shared" si="96"/>
        <v>-4.5712691309418574E-3</v>
      </c>
      <c r="BH203" s="3">
        <f t="shared" si="88"/>
        <v>-3.8562167175014705E-3</v>
      </c>
      <c r="BI203" s="3">
        <f t="shared" si="89"/>
        <v>-4.8601953815768373E-3</v>
      </c>
      <c r="BJ203" s="3">
        <f t="shared" si="90"/>
        <v>-5.6147472150519327E-3</v>
      </c>
    </row>
    <row r="204" spans="1:62" x14ac:dyDescent="0.3">
      <c r="A204" s="27">
        <v>44449</v>
      </c>
      <c r="B204" s="3">
        <v>295.16998291015602</v>
      </c>
      <c r="C204" s="3">
        <v>148.75289916992099</v>
      </c>
      <c r="D204" s="3">
        <v>3469.14990234375</v>
      </c>
      <c r="E204" s="3">
        <v>2817.52001953125</v>
      </c>
      <c r="F204" s="3">
        <v>736.27001953125</v>
      </c>
      <c r="G204" s="3">
        <v>2838.419921875</v>
      </c>
      <c r="H204" s="3">
        <v>378.69000244140602</v>
      </c>
      <c r="I204" s="3">
        <v>224.75247192382801</v>
      </c>
      <c r="J204" s="3">
        <v>277.600006103515</v>
      </c>
      <c r="K204" s="3">
        <v>156.41744995117099</v>
      </c>
      <c r="L204" s="3">
        <v>4458.580078125</v>
      </c>
      <c r="N204" s="3">
        <f t="shared" si="91"/>
        <v>4.3191780642715116E-3</v>
      </c>
      <c r="O204" s="3">
        <f t="shared" si="78"/>
        <v>3.8858943076052199E-3</v>
      </c>
      <c r="P204" s="3">
        <f t="shared" si="79"/>
        <v>-3.4592663115020628E-3</v>
      </c>
      <c r="Q204" s="3">
        <f t="shared" si="80"/>
        <v>1.0285757678374807E-2</v>
      </c>
      <c r="R204" s="3">
        <f t="shared" si="81"/>
        <v>9.0991189077147538E-3</v>
      </c>
      <c r="S204" s="3">
        <f t="shared" si="82"/>
        <v>1.0820582793494182E-2</v>
      </c>
      <c r="T204" s="3">
        <f t="shared" si="83"/>
        <v>-5.7733016304384321E-3</v>
      </c>
      <c r="U204" s="3">
        <f t="shared" si="84"/>
        <v>-1.4609184882277582E-2</v>
      </c>
      <c r="V204" s="3">
        <f t="shared" si="85"/>
        <v>8.3226454099554203E-3</v>
      </c>
      <c r="W204" s="3">
        <f t="shared" si="86"/>
        <v>1.5762197020630531E-2</v>
      </c>
      <c r="X204" s="3">
        <f t="shared" si="87"/>
        <v>2.2739003463705387E-3</v>
      </c>
      <c r="AK204" s="3"/>
      <c r="AL204" s="8"/>
      <c r="AW204" s="3"/>
      <c r="AY204" s="5"/>
      <c r="AZ204" s="28">
        <f t="shared" si="97"/>
        <v>44447</v>
      </c>
      <c r="BA204" s="3">
        <f t="shared" si="98"/>
        <v>199</v>
      </c>
      <c r="BB204" s="3">
        <f t="shared" si="92"/>
        <v>1.4508674113491962</v>
      </c>
      <c r="BC204" s="3">
        <f t="shared" si="93"/>
        <v>1.4226180630182874</v>
      </c>
      <c r="BD204" s="3">
        <f t="shared" si="94"/>
        <v>1.5418688440370503</v>
      </c>
      <c r="BE204" s="3">
        <f t="shared" si="95"/>
        <v>1.0098897261244884</v>
      </c>
      <c r="BG204" s="3">
        <f t="shared" si="96"/>
        <v>-3.0124339072878925E-3</v>
      </c>
      <c r="BH204" s="3">
        <f t="shared" si="88"/>
        <v>-3.1752658400380218E-3</v>
      </c>
      <c r="BI204" s="3">
        <f t="shared" si="89"/>
        <v>-4.2222067845849032E-3</v>
      </c>
      <c r="BJ204" s="3">
        <f t="shared" si="90"/>
        <v>-6.5494491156894898E-3</v>
      </c>
    </row>
    <row r="205" spans="1:62" x14ac:dyDescent="0.3">
      <c r="A205" s="27">
        <v>44452</v>
      </c>
      <c r="B205" s="3">
        <v>296.44763183593699</v>
      </c>
      <c r="C205" s="3">
        <v>149.33206176757801</v>
      </c>
      <c r="D205" s="3">
        <v>3457.169921875</v>
      </c>
      <c r="E205" s="3">
        <v>2846.64990234375</v>
      </c>
      <c r="F205" s="3">
        <v>743</v>
      </c>
      <c r="G205" s="3">
        <v>2869.30004882812</v>
      </c>
      <c r="H205" s="3">
        <v>376.510009765625</v>
      </c>
      <c r="I205" s="3">
        <v>221.49288940429599</v>
      </c>
      <c r="J205" s="3">
        <v>279.92001342773398</v>
      </c>
      <c r="K205" s="3">
        <v>158.90246582031199</v>
      </c>
      <c r="L205" s="3">
        <v>4468.72998046875</v>
      </c>
      <c r="N205" s="3">
        <f t="shared" si="91"/>
        <v>9.3838792452745068E-3</v>
      </c>
      <c r="O205" s="3">
        <f t="shared" si="78"/>
        <v>-9.6081417309932249E-3</v>
      </c>
      <c r="P205" s="3">
        <f t="shared" si="79"/>
        <v>-2.0760816749447741E-3</v>
      </c>
      <c r="Q205" s="3">
        <f t="shared" si="80"/>
        <v>1.4883585441056724E-3</v>
      </c>
      <c r="R205" s="3">
        <f t="shared" si="81"/>
        <v>2.0033623654498456E-3</v>
      </c>
      <c r="S205" s="3">
        <f t="shared" si="82"/>
        <v>-4.1131087600820848E-4</v>
      </c>
      <c r="T205" s="3">
        <f t="shared" si="83"/>
        <v>5.308884906174427E-5</v>
      </c>
      <c r="U205" s="3">
        <f t="shared" si="84"/>
        <v>4.0545264648592649E-3</v>
      </c>
      <c r="V205" s="3">
        <f t="shared" si="85"/>
        <v>-9.7645846766747368E-3</v>
      </c>
      <c r="W205" s="3">
        <f t="shared" si="86"/>
        <v>-1.760674643101634E-2</v>
      </c>
      <c r="X205" s="3">
        <f t="shared" si="87"/>
        <v>-5.7632139662580073E-3</v>
      </c>
      <c r="AK205" s="3"/>
      <c r="AL205" s="8"/>
      <c r="AW205" s="3"/>
      <c r="AY205" s="5"/>
      <c r="AZ205" s="28">
        <f t="shared" si="97"/>
        <v>44448</v>
      </c>
      <c r="BA205" s="3">
        <f t="shared" si="98"/>
        <v>200</v>
      </c>
      <c r="BB205" s="3">
        <f t="shared" si="92"/>
        <v>1.4465033456941814</v>
      </c>
      <c r="BC205" s="3">
        <f t="shared" si="93"/>
        <v>1.4181080365351701</v>
      </c>
      <c r="BD205" s="3">
        <f t="shared" si="94"/>
        <v>1.5353724790917953</v>
      </c>
      <c r="BE205" s="3">
        <f t="shared" si="95"/>
        <v>1.003297117294782</v>
      </c>
      <c r="BG205" s="3">
        <f t="shared" si="96"/>
        <v>-1.070627044180622E-2</v>
      </c>
      <c r="BH205" s="3">
        <f t="shared" si="88"/>
        <v>-1.0720779290722737E-2</v>
      </c>
      <c r="BI205" s="3">
        <f t="shared" si="89"/>
        <v>-6.2091008781112178E-3</v>
      </c>
      <c r="BJ205" s="3">
        <f t="shared" si="90"/>
        <v>-2.6810704570199261E-4</v>
      </c>
    </row>
    <row r="206" spans="1:62" x14ac:dyDescent="0.3">
      <c r="A206" s="27">
        <v>44453</v>
      </c>
      <c r="B206" s="3">
        <v>299.24255371093699</v>
      </c>
      <c r="C206" s="3">
        <v>147.90412902832</v>
      </c>
      <c r="D206" s="3">
        <v>3450</v>
      </c>
      <c r="E206" s="3">
        <v>2850.88989257812</v>
      </c>
      <c r="F206" s="3">
        <v>744.489990234375</v>
      </c>
      <c r="G206" s="3">
        <v>2868.1201171875</v>
      </c>
      <c r="H206" s="3">
        <v>376.52999877929602</v>
      </c>
      <c r="I206" s="3">
        <v>222.39276123046801</v>
      </c>
      <c r="J206" s="3">
        <v>277.20001220703102</v>
      </c>
      <c r="K206" s="3">
        <v>156.12919616699199</v>
      </c>
      <c r="L206" s="3">
        <v>4443.0498046875</v>
      </c>
      <c r="N206" s="3">
        <f t="shared" si="91"/>
        <v>1.6639203221563648E-2</v>
      </c>
      <c r="O206" s="3">
        <f t="shared" si="78"/>
        <v>6.1248879548365665E-3</v>
      </c>
      <c r="P206" s="3">
        <f t="shared" si="79"/>
        <v>7.4475715040396295E-3</v>
      </c>
      <c r="Q206" s="3">
        <f t="shared" si="80"/>
        <v>1.3137335668387706E-2</v>
      </c>
      <c r="R206" s="3">
        <f t="shared" si="81"/>
        <v>1.5117098695615283E-2</v>
      </c>
      <c r="S206" s="3">
        <f t="shared" si="82"/>
        <v>1.2473655050117216E-2</v>
      </c>
      <c r="T206" s="3">
        <f t="shared" si="83"/>
        <v>-6.9558153972204551E-3</v>
      </c>
      <c r="U206" s="3">
        <f t="shared" si="84"/>
        <v>4.4411828774446604E-3</v>
      </c>
      <c r="V206" s="3">
        <f t="shared" si="85"/>
        <v>3.5290484972643199E-3</v>
      </c>
      <c r="W206" s="3">
        <f t="shared" si="86"/>
        <v>6.9155771365831953E-3</v>
      </c>
      <c r="X206" s="3">
        <f t="shared" si="87"/>
        <v>8.4382942220795343E-3</v>
      </c>
      <c r="AK206" s="3"/>
      <c r="AL206" s="8"/>
      <c r="AW206" s="3"/>
      <c r="AY206" s="5"/>
      <c r="AZ206" s="28">
        <f t="shared" si="97"/>
        <v>44449</v>
      </c>
      <c r="BA206" s="3">
        <f t="shared" si="98"/>
        <v>201</v>
      </c>
      <c r="BB206" s="3">
        <f t="shared" si="92"/>
        <v>1.4310992967764931</v>
      </c>
      <c r="BC206" s="3">
        <f t="shared" si="93"/>
        <v>1.4029860180138676</v>
      </c>
      <c r="BD206" s="3">
        <f t="shared" si="94"/>
        <v>1.5258687318793116</v>
      </c>
      <c r="BE206" s="3">
        <f t="shared" si="95"/>
        <v>1.0030281623246751</v>
      </c>
      <c r="BG206" s="3">
        <f t="shared" si="96"/>
        <v>3.8294308975534985E-3</v>
      </c>
      <c r="BH206" s="3">
        <f t="shared" si="88"/>
        <v>4.9917547392516193E-3</v>
      </c>
      <c r="BI206" s="3">
        <f t="shared" si="89"/>
        <v>2.0566937104193328E-3</v>
      </c>
      <c r="BJ206" s="3">
        <f t="shared" si="90"/>
        <v>-1.8258873584031019E-3</v>
      </c>
    </row>
    <row r="207" spans="1:62" x14ac:dyDescent="0.3">
      <c r="A207" s="27">
        <v>44454</v>
      </c>
      <c r="B207" s="3">
        <v>304.26336669921801</v>
      </c>
      <c r="C207" s="3">
        <v>148.81280517578099</v>
      </c>
      <c r="D207" s="3">
        <v>3475.7900390625</v>
      </c>
      <c r="E207" s="3">
        <v>2888.59008789062</v>
      </c>
      <c r="F207" s="3">
        <v>755.83001708984295</v>
      </c>
      <c r="G207" s="3">
        <v>2904.1201171875</v>
      </c>
      <c r="H207" s="3">
        <v>373.92001342773398</v>
      </c>
      <c r="I207" s="3">
        <v>223.38264465332</v>
      </c>
      <c r="J207" s="3">
        <v>278.17999267578102</v>
      </c>
      <c r="K207" s="3">
        <v>157.21266174316401</v>
      </c>
      <c r="L207" s="3">
        <v>4480.7001953125</v>
      </c>
      <c r="N207" s="3">
        <f t="shared" si="91"/>
        <v>1.3113630726495629E-3</v>
      </c>
      <c r="O207" s="3">
        <f t="shared" si="78"/>
        <v>-1.6117411613620902E-3</v>
      </c>
      <c r="P207" s="3">
        <f t="shared" si="79"/>
        <v>3.5755056721722411E-3</v>
      </c>
      <c r="Q207" s="3">
        <f t="shared" si="80"/>
        <v>-5.6902545769830226E-3</v>
      </c>
      <c r="R207" s="3">
        <f t="shared" si="81"/>
        <v>1.5335246311414252E-3</v>
      </c>
      <c r="S207" s="3">
        <f t="shared" si="82"/>
        <v>-5.7497827376709054E-3</v>
      </c>
      <c r="T207" s="3">
        <f t="shared" si="83"/>
        <v>-2.3026486291186643E-3</v>
      </c>
      <c r="U207" s="3">
        <f t="shared" si="84"/>
        <v>-4.4411828774446604E-3</v>
      </c>
      <c r="V207" s="3">
        <f t="shared" si="85"/>
        <v>-2.4113560865046679E-3</v>
      </c>
      <c r="W207" s="3">
        <f t="shared" si="86"/>
        <v>-4.4278078507264951E-4</v>
      </c>
      <c r="X207" s="3">
        <f t="shared" si="87"/>
        <v>-1.552344712765219E-3</v>
      </c>
      <c r="AK207" s="3"/>
      <c r="AL207" s="8"/>
      <c r="AW207" s="3"/>
      <c r="AY207" s="5"/>
      <c r="AZ207" s="28">
        <f t="shared" si="97"/>
        <v>44452</v>
      </c>
      <c r="BA207" s="3">
        <f t="shared" si="98"/>
        <v>202</v>
      </c>
      <c r="BB207" s="3">
        <f t="shared" si="92"/>
        <v>1.436590099255362</v>
      </c>
      <c r="BC207" s="3">
        <f t="shared" si="93"/>
        <v>1.4100068887722259</v>
      </c>
      <c r="BD207" s="3">
        <f t="shared" si="94"/>
        <v>1.5290102059206778</v>
      </c>
      <c r="BE207" s="3">
        <f t="shared" si="95"/>
        <v>1.0011984168458772</v>
      </c>
      <c r="BG207" s="3">
        <f t="shared" si="96"/>
        <v>-1.8248479678026897E-3</v>
      </c>
      <c r="BH207" s="3">
        <f t="shared" si="88"/>
        <v>-2.6851262666750531E-3</v>
      </c>
      <c r="BI207" s="3">
        <f t="shared" si="89"/>
        <v>-5.7192158196636145E-3</v>
      </c>
      <c r="BJ207" s="3">
        <f t="shared" si="90"/>
        <v>-8.5045494716499068E-3</v>
      </c>
    </row>
    <row r="208" spans="1:62" x14ac:dyDescent="0.3">
      <c r="A208" s="27">
        <v>44455</v>
      </c>
      <c r="B208" s="3">
        <v>304.66262817382801</v>
      </c>
      <c r="C208" s="3">
        <v>148.573150634765</v>
      </c>
      <c r="D208" s="3">
        <v>3488.23999023437</v>
      </c>
      <c r="E208" s="3">
        <v>2872.19995117187</v>
      </c>
      <c r="F208" s="3">
        <v>756.989990234375</v>
      </c>
      <c r="G208" s="3">
        <v>2887.46997070312</v>
      </c>
      <c r="H208" s="3">
        <v>373.05999755859301</v>
      </c>
      <c r="I208" s="3">
        <v>222.39276123046801</v>
      </c>
      <c r="J208" s="3">
        <v>277.510009765625</v>
      </c>
      <c r="K208" s="3">
        <v>157.14306640625</v>
      </c>
      <c r="L208" s="3">
        <v>4473.75</v>
      </c>
      <c r="N208" s="3">
        <f t="shared" si="91"/>
        <v>-1.7683815005169023E-2</v>
      </c>
      <c r="O208" s="3">
        <f t="shared" si="78"/>
        <v>-1.8518364365934126E-2</v>
      </c>
      <c r="P208" s="3">
        <f t="shared" si="79"/>
        <v>-7.4006549086576001E-3</v>
      </c>
      <c r="Q208" s="3">
        <f t="shared" si="80"/>
        <v>-1.9760831348331287E-2</v>
      </c>
      <c r="R208" s="3">
        <f t="shared" si="81"/>
        <v>3.2971121241009982E-3</v>
      </c>
      <c r="S208" s="3">
        <f t="shared" si="82"/>
        <v>-2.0361941283906226E-2</v>
      </c>
      <c r="T208" s="3">
        <f t="shared" si="83"/>
        <v>-2.2609318819996282E-2</v>
      </c>
      <c r="U208" s="3">
        <f t="shared" si="84"/>
        <v>-1.5495709786520706E-2</v>
      </c>
      <c r="V208" s="3">
        <f t="shared" si="85"/>
        <v>-2.7062638472692413E-3</v>
      </c>
      <c r="W208" s="3">
        <f t="shared" si="86"/>
        <v>-2.5968463254057994E-3</v>
      </c>
      <c r="X208" s="3">
        <f t="shared" si="87"/>
        <v>-9.152630275798046E-3</v>
      </c>
      <c r="AK208" s="3"/>
      <c r="AL208" s="8"/>
      <c r="AW208" s="3"/>
      <c r="AY208" s="5"/>
      <c r="AZ208" s="28">
        <f t="shared" si="97"/>
        <v>44453</v>
      </c>
      <c r="BA208" s="3">
        <f t="shared" si="98"/>
        <v>203</v>
      </c>
      <c r="BB208" s="3">
        <f t="shared" si="92"/>
        <v>1.4339709312507101</v>
      </c>
      <c r="BC208" s="3">
        <f t="shared" si="93"/>
        <v>1.4062259206990351</v>
      </c>
      <c r="BD208" s="3">
        <f t="shared" si="94"/>
        <v>1.5202904254838989</v>
      </c>
      <c r="BE208" s="3">
        <f t="shared" si="95"/>
        <v>0.99271977997529093</v>
      </c>
      <c r="BG208" s="3">
        <f t="shared" si="96"/>
        <v>8.1689460529104085E-3</v>
      </c>
      <c r="BH208" s="3">
        <f t="shared" si="88"/>
        <v>8.1286930540526159E-3</v>
      </c>
      <c r="BI208" s="3">
        <f t="shared" si="89"/>
        <v>6.6277490760232594E-3</v>
      </c>
      <c r="BJ208" s="3">
        <f t="shared" si="90"/>
        <v>4.9032600985998258E-3</v>
      </c>
    </row>
    <row r="209" spans="1:62" x14ac:dyDescent="0.3">
      <c r="A209" s="27">
        <v>44456</v>
      </c>
      <c r="B209" s="3">
        <v>299.32238769531199</v>
      </c>
      <c r="C209" s="3">
        <v>145.84713745117099</v>
      </c>
      <c r="D209" s="3">
        <v>3462.52001953125</v>
      </c>
      <c r="E209" s="3">
        <v>2816</v>
      </c>
      <c r="F209" s="3">
        <v>759.489990234375</v>
      </c>
      <c r="G209" s="3">
        <v>2829.27001953125</v>
      </c>
      <c r="H209" s="3">
        <v>364.72000122070301</v>
      </c>
      <c r="I209" s="3">
        <v>218.97319030761699</v>
      </c>
      <c r="J209" s="3">
        <v>276.760009765625</v>
      </c>
      <c r="K209" s="3">
        <v>156.73551940917901</v>
      </c>
      <c r="L209" s="3">
        <v>4432.990234375</v>
      </c>
      <c r="N209" s="3">
        <f t="shared" si="91"/>
        <v>-1.874944906228837E-2</v>
      </c>
      <c r="O209" s="3">
        <f t="shared" si="78"/>
        <v>-2.1592499179748259E-2</v>
      </c>
      <c r="P209" s="3">
        <f t="shared" si="79"/>
        <v>-3.1327326682784928E-2</v>
      </c>
      <c r="Q209" s="3">
        <f t="shared" si="80"/>
        <v>-1.4886573800234615E-2</v>
      </c>
      <c r="R209" s="3">
        <f t="shared" si="81"/>
        <v>-3.9369782196168934E-2</v>
      </c>
      <c r="S209" s="3">
        <f t="shared" si="82"/>
        <v>-1.7445480759448628E-2</v>
      </c>
      <c r="T209" s="3">
        <f t="shared" si="83"/>
        <v>-2.5042225979404087E-2</v>
      </c>
      <c r="U209" s="3">
        <f t="shared" si="84"/>
        <v>-3.6597659282853634E-2</v>
      </c>
      <c r="V209" s="3">
        <f t="shared" si="85"/>
        <v>-9.2929282692200132E-3</v>
      </c>
      <c r="W209" s="3">
        <f t="shared" si="86"/>
        <v>-3.0391105342268077E-2</v>
      </c>
      <c r="X209" s="3">
        <f t="shared" si="87"/>
        <v>-1.7123077726381553E-2</v>
      </c>
      <c r="AK209" s="3"/>
      <c r="AL209" s="8"/>
      <c r="AW209" s="3"/>
      <c r="AY209" s="5"/>
      <c r="AZ209" s="28">
        <f t="shared" si="97"/>
        <v>44454</v>
      </c>
      <c r="BA209" s="3">
        <f t="shared" si="98"/>
        <v>204</v>
      </c>
      <c r="BB209" s="3">
        <f t="shared" si="92"/>
        <v>1.4457329386232527</v>
      </c>
      <c r="BC209" s="3">
        <f t="shared" si="93"/>
        <v>1.4177032843583919</v>
      </c>
      <c r="BD209" s="3">
        <f t="shared" si="94"/>
        <v>1.5303999937807171</v>
      </c>
      <c r="BE209" s="3">
        <f t="shared" si="95"/>
        <v>0.99759929625417942</v>
      </c>
      <c r="BG209" s="3">
        <f t="shared" si="96"/>
        <v>-1.8753170014690346E-3</v>
      </c>
      <c r="BH209" s="3">
        <f t="shared" si="88"/>
        <v>-1.9139796218038962E-3</v>
      </c>
      <c r="BI209" s="3">
        <f t="shared" si="89"/>
        <v>-8.9782911201952142E-4</v>
      </c>
      <c r="BJ209" s="3">
        <f t="shared" si="90"/>
        <v>3.084623202497935E-4</v>
      </c>
    </row>
    <row r="210" spans="1:62" x14ac:dyDescent="0.3">
      <c r="A210" s="27">
        <v>44459</v>
      </c>
      <c r="B210" s="3">
        <v>293.76254272460898</v>
      </c>
      <c r="C210" s="3">
        <v>142.731689453125</v>
      </c>
      <c r="D210" s="3">
        <v>3355.72998046875</v>
      </c>
      <c r="E210" s="3">
        <v>2774.38989257812</v>
      </c>
      <c r="F210" s="3">
        <v>730.16998291015602</v>
      </c>
      <c r="G210" s="3">
        <v>2780.34008789062</v>
      </c>
      <c r="H210" s="3">
        <v>355.70001220703102</v>
      </c>
      <c r="I210" s="3">
        <v>211.10415649414</v>
      </c>
      <c r="J210" s="3">
        <v>274.20001220703102</v>
      </c>
      <c r="K210" s="3">
        <v>152.04380798339801</v>
      </c>
      <c r="L210" s="3">
        <v>4357.72998046875</v>
      </c>
      <c r="N210" s="3">
        <f t="shared" si="91"/>
        <v>1.6974968650176336E-3</v>
      </c>
      <c r="O210" s="3">
        <f t="shared" si="78"/>
        <v>3.4220598786154355E-3</v>
      </c>
      <c r="P210" s="3">
        <f t="shared" si="79"/>
        <v>-3.6123185082974629E-3</v>
      </c>
      <c r="Q210" s="3">
        <f t="shared" si="80"/>
        <v>2.2574134937842771E-3</v>
      </c>
      <c r="R210" s="3">
        <f t="shared" si="81"/>
        <v>1.2534643444116256E-2</v>
      </c>
      <c r="S210" s="3">
        <f t="shared" si="82"/>
        <v>4.5179455224744203E-3</v>
      </c>
      <c r="T210" s="3">
        <f t="shared" si="83"/>
        <v>4.9917339731555543E-3</v>
      </c>
      <c r="U210" s="3">
        <f t="shared" si="84"/>
        <v>6.2796627125649707E-3</v>
      </c>
      <c r="V210" s="3">
        <f t="shared" si="85"/>
        <v>-3.7269198831442196E-3</v>
      </c>
      <c r="W210" s="3">
        <f t="shared" si="86"/>
        <v>1.3065737940554101E-4</v>
      </c>
      <c r="X210" s="3">
        <f t="shared" si="87"/>
        <v>-8.1268865854688954E-4</v>
      </c>
      <c r="AK210" s="3"/>
      <c r="AL210" s="8"/>
      <c r="AW210" s="3"/>
      <c r="AY210" s="5"/>
      <c r="AZ210" s="28">
        <f t="shared" si="97"/>
        <v>44455</v>
      </c>
      <c r="BA210" s="3">
        <f t="shared" si="98"/>
        <v>205</v>
      </c>
      <c r="BB210" s="3">
        <f t="shared" si="92"/>
        <v>1.4430242716622934</v>
      </c>
      <c r="BC210" s="3">
        <f t="shared" si="93"/>
        <v>1.4149924242554246</v>
      </c>
      <c r="BD210" s="3">
        <f t="shared" si="94"/>
        <v>1.5290265727542158</v>
      </c>
      <c r="BE210" s="3">
        <f t="shared" si="95"/>
        <v>0.99790706551295105</v>
      </c>
      <c r="BG210" s="3">
        <f t="shared" si="96"/>
        <v>-1.2690301482097988E-2</v>
      </c>
      <c r="BH210" s="3">
        <f t="shared" si="88"/>
        <v>-1.2890803779522453E-2</v>
      </c>
      <c r="BI210" s="3">
        <f t="shared" si="89"/>
        <v>-7.6254852422343866E-3</v>
      </c>
      <c r="BJ210" s="3">
        <f t="shared" si="90"/>
        <v>-3.2323982145948155E-3</v>
      </c>
    </row>
    <row r="211" spans="1:62" x14ac:dyDescent="0.3">
      <c r="A211" s="27">
        <v>44460</v>
      </c>
      <c r="B211" s="3">
        <v>294.261627197265</v>
      </c>
      <c r="C211" s="3">
        <v>143.22096252441401</v>
      </c>
      <c r="D211" s="3">
        <v>3343.6298828125</v>
      </c>
      <c r="E211" s="3">
        <v>2780.65991210937</v>
      </c>
      <c r="F211" s="3">
        <v>739.38000488281205</v>
      </c>
      <c r="G211" s="3">
        <v>2792.92993164062</v>
      </c>
      <c r="H211" s="3">
        <v>357.48001098632801</v>
      </c>
      <c r="I211" s="3">
        <v>212.433990478515</v>
      </c>
      <c r="J211" s="3">
        <v>273.17999267578102</v>
      </c>
      <c r="K211" s="3">
        <v>152.06367492675699</v>
      </c>
      <c r="L211" s="3">
        <v>4354.18994140625</v>
      </c>
      <c r="N211" s="3">
        <f t="shared" si="91"/>
        <v>1.2740759947885039E-2</v>
      </c>
      <c r="O211" s="3">
        <f t="shared" ref="O211:O253" si="99">LN(C212)-LN(C211)</f>
        <v>1.673169211756953E-2</v>
      </c>
      <c r="P211" s="3">
        <f t="shared" ref="P211:P253" si="100">LN(D212)-LN(D211)</f>
        <v>1.0833508611156617E-2</v>
      </c>
      <c r="Q211" s="3">
        <f t="shared" ref="Q211:Q253" si="101">LN(E212)-LN(E211)</f>
        <v>8.9540637976384119E-3</v>
      </c>
      <c r="R211" s="3">
        <f t="shared" ref="R211:R253" si="102">LN(F212)-LN(F211)</f>
        <v>1.6844532997422057E-2</v>
      </c>
      <c r="S211" s="3">
        <f t="shared" ref="S211:S253" si="103">LN(G212)-LN(G211)</f>
        <v>9.2094269998987954E-3</v>
      </c>
      <c r="T211" s="3">
        <f t="shared" ref="T211:T253" si="104">LN(H212)-LN(H211)</f>
        <v>-4.0736967424508386E-2</v>
      </c>
      <c r="U211" s="3">
        <f t="shared" ref="U211:U253" si="105">LN(I212)-LN(I211)</f>
        <v>3.2188429226352788E-2</v>
      </c>
      <c r="V211" s="3">
        <f t="shared" ref="V211:V253" si="106">LN(J212)-LN(J211)</f>
        <v>3.2526831726968908E-3</v>
      </c>
      <c r="W211" s="3">
        <f t="shared" ref="W211:W253" si="107">LN(K212)-LN(K211)</f>
        <v>1.8971791843287455E-2</v>
      </c>
      <c r="X211" s="3">
        <f t="shared" ref="X211:X253" si="108">LN(L212)-LN(L211)</f>
        <v>9.4745852242184014E-3</v>
      </c>
      <c r="AK211" s="3"/>
      <c r="AL211" s="8"/>
      <c r="AW211" s="3"/>
      <c r="AY211" s="5"/>
      <c r="AZ211" s="28">
        <f t="shared" si="97"/>
        <v>44456</v>
      </c>
      <c r="BA211" s="3">
        <f t="shared" si="98"/>
        <v>206</v>
      </c>
      <c r="BB211" s="3">
        <f t="shared" si="92"/>
        <v>1.4248275636689773</v>
      </c>
      <c r="BC211" s="3">
        <f t="shared" si="93"/>
        <v>1.3968690976546905</v>
      </c>
      <c r="BD211" s="3">
        <f t="shared" si="94"/>
        <v>1.5174113453447824</v>
      </c>
      <c r="BE211" s="3">
        <f t="shared" si="95"/>
        <v>0.99468664014867769</v>
      </c>
      <c r="BG211" s="3">
        <f t="shared" si="96"/>
        <v>-2.4629866484072782E-2</v>
      </c>
      <c r="BH211" s="3">
        <f t="shared" si="88"/>
        <v>-2.2163796193865493E-2</v>
      </c>
      <c r="BI211" s="3">
        <f t="shared" si="89"/>
        <v>-2.7295768825452538E-2</v>
      </c>
      <c r="BJ211" s="3">
        <f t="shared" si="90"/>
        <v>-3.1203258221230844E-2</v>
      </c>
    </row>
    <row r="212" spans="1:62" x14ac:dyDescent="0.3">
      <c r="A212" s="27">
        <v>44461</v>
      </c>
      <c r="B212" s="3">
        <v>298.03472900390602</v>
      </c>
      <c r="C212" s="3">
        <v>145.637451171875</v>
      </c>
      <c r="D212" s="3">
        <v>3380.05004882812</v>
      </c>
      <c r="E212" s="3">
        <v>2805.669921875</v>
      </c>
      <c r="F212" s="3">
        <v>751.94000244140602</v>
      </c>
      <c r="G212" s="3">
        <v>2818.77001953125</v>
      </c>
      <c r="H212" s="3">
        <v>343.20999145507801</v>
      </c>
      <c r="I212" s="3">
        <v>219.38314819335901</v>
      </c>
      <c r="J212" s="3">
        <v>274.07000732421801</v>
      </c>
      <c r="K212" s="3">
        <v>154.97613525390599</v>
      </c>
      <c r="L212" s="3">
        <v>4395.64013671875</v>
      </c>
      <c r="N212" s="3">
        <f t="shared" si="91"/>
        <v>3.2768282206001587E-3</v>
      </c>
      <c r="O212" s="3">
        <f t="shared" si="99"/>
        <v>6.6967915706301895E-3</v>
      </c>
      <c r="P212" s="3">
        <f t="shared" si="100"/>
        <v>1.0579759195426419E-2</v>
      </c>
      <c r="Q212" s="3">
        <f t="shared" si="101"/>
        <v>6.6253100758393302E-3</v>
      </c>
      <c r="R212" s="3">
        <f t="shared" si="102"/>
        <v>2.2582830672792653E-3</v>
      </c>
      <c r="S212" s="3">
        <f t="shared" si="103"/>
        <v>6.2808579552120491E-3</v>
      </c>
      <c r="T212" s="3">
        <f t="shared" si="104"/>
        <v>7.980656917760065E-3</v>
      </c>
      <c r="U212" s="3">
        <f t="shared" si="105"/>
        <v>2.4357931295862834E-2</v>
      </c>
      <c r="V212" s="3">
        <f t="shared" si="106"/>
        <v>1.4669082737841066E-2</v>
      </c>
      <c r="W212" s="3">
        <f t="shared" si="107"/>
        <v>3.3242739442844282E-2</v>
      </c>
      <c r="X212" s="3">
        <f t="shared" si="108"/>
        <v>1.2061680369937378E-2</v>
      </c>
      <c r="AK212" s="3"/>
      <c r="AL212" s="8"/>
      <c r="AW212" s="3"/>
      <c r="AY212" s="5"/>
      <c r="AZ212" s="28">
        <f t="shared" si="97"/>
        <v>44459</v>
      </c>
      <c r="BA212" s="3">
        <f t="shared" si="98"/>
        <v>207</v>
      </c>
      <c r="BB212" s="3">
        <f t="shared" si="92"/>
        <v>1.3901628964445161</v>
      </c>
      <c r="BC212" s="3">
        <f t="shared" si="93"/>
        <v>1.366249749587954</v>
      </c>
      <c r="BD212" s="3">
        <f t="shared" si="94"/>
        <v>1.4765526081870823</v>
      </c>
      <c r="BE212" s="3">
        <f t="shared" si="95"/>
        <v>0.9641284135455267</v>
      </c>
      <c r="BG212" s="3">
        <f t="shared" si="96"/>
        <v>3.2166741637816854E-3</v>
      </c>
      <c r="BH212" s="3">
        <f t="shared" si="88"/>
        <v>2.0065990637937459E-3</v>
      </c>
      <c r="BI212" s="3">
        <f t="shared" si="89"/>
        <v>1.8760512219482273E-3</v>
      </c>
      <c r="BJ212" s="3">
        <f t="shared" si="90"/>
        <v>7.1475023423420853E-4</v>
      </c>
    </row>
    <row r="213" spans="1:62" x14ac:dyDescent="0.3">
      <c r="A213" s="27">
        <v>44462</v>
      </c>
      <c r="B213" s="3">
        <v>299.012939453125</v>
      </c>
      <c r="C213" s="3">
        <v>146.61602783203099</v>
      </c>
      <c r="D213" s="3">
        <v>3416</v>
      </c>
      <c r="E213" s="3">
        <v>2824.32006835937</v>
      </c>
      <c r="F213" s="3">
        <v>753.64001464843705</v>
      </c>
      <c r="G213" s="3">
        <v>2836.53002929687</v>
      </c>
      <c r="H213" s="3">
        <v>345.95999145507801</v>
      </c>
      <c r="I213" s="3">
        <v>224.79248046875</v>
      </c>
      <c r="J213" s="3">
        <v>278.11999511718699</v>
      </c>
      <c r="K213" s="3">
        <v>160.21455383300699</v>
      </c>
      <c r="L213" s="3">
        <v>4448.97998046875</v>
      </c>
      <c r="N213" s="3">
        <f t="shared" si="91"/>
        <v>-7.0120115726979293E-4</v>
      </c>
      <c r="O213" s="3">
        <f t="shared" si="99"/>
        <v>6.1269892977655616E-4</v>
      </c>
      <c r="P213" s="3">
        <f t="shared" si="100"/>
        <v>2.7830147828513674E-3</v>
      </c>
      <c r="Q213" s="3">
        <f t="shared" si="101"/>
        <v>7.0493569140701595E-3</v>
      </c>
      <c r="R213" s="3">
        <f t="shared" si="102"/>
        <v>2.7160821725233042E-2</v>
      </c>
      <c r="S213" s="3">
        <f t="shared" si="103"/>
        <v>5.6703770475285964E-3</v>
      </c>
      <c r="T213" s="3">
        <f t="shared" si="104"/>
        <v>2.0031575116667533E-2</v>
      </c>
      <c r="U213" s="3">
        <f t="shared" si="105"/>
        <v>-1.7997534676236882E-2</v>
      </c>
      <c r="V213" s="3">
        <f t="shared" si="106"/>
        <v>-8.9929682634526387E-4</v>
      </c>
      <c r="W213" s="3">
        <f t="shared" si="107"/>
        <v>1.1473834102532443E-2</v>
      </c>
      <c r="X213" s="3">
        <f t="shared" si="108"/>
        <v>1.4599428113637458E-3</v>
      </c>
      <c r="AK213" s="3"/>
      <c r="AL213" s="8"/>
      <c r="AW213" s="3"/>
      <c r="AY213" s="5"/>
      <c r="AZ213" s="28">
        <f t="shared" si="97"/>
        <v>44460</v>
      </c>
      <c r="BA213" s="3">
        <f t="shared" si="98"/>
        <v>208</v>
      </c>
      <c r="BB213" s="3">
        <f t="shared" si="92"/>
        <v>1.3946417972372593</v>
      </c>
      <c r="BC213" s="3">
        <f t="shared" si="93"/>
        <v>1.3689940174582529</v>
      </c>
      <c r="BD213" s="3">
        <f t="shared" si="94"/>
        <v>1.4793252965514174</v>
      </c>
      <c r="BE213" s="3">
        <f t="shared" si="95"/>
        <v>0.96481777088475251</v>
      </c>
      <c r="BG213" s="3">
        <f t="shared" si="96"/>
        <v>9.681082794013085E-3</v>
      </c>
      <c r="BH213" s="3">
        <f t="shared" ref="BH213:BH255" si="109">LN(BC214)-LN(BC213)</f>
        <v>8.6809280804258648E-3</v>
      </c>
      <c r="BI213" s="3">
        <f t="shared" ref="BI213:BI255" si="110">LN(BD214)-LN(BD213)</f>
        <v>1.8798154205495854E-2</v>
      </c>
      <c r="BJ213" s="3">
        <f t="shared" ref="BJ213:BJ255" si="111">LN(BE214)-LN(BE213)</f>
        <v>2.8931179963453197E-2</v>
      </c>
    </row>
    <row r="214" spans="1:62" x14ac:dyDescent="0.3">
      <c r="A214" s="27">
        <v>44463</v>
      </c>
      <c r="B214" s="3">
        <v>298.80334472656199</v>
      </c>
      <c r="C214" s="3">
        <v>146.70588684082</v>
      </c>
      <c r="D214" s="3">
        <v>3425.52001953125</v>
      </c>
      <c r="E214" s="3">
        <v>2844.30004882812</v>
      </c>
      <c r="F214" s="3">
        <v>774.39001464843705</v>
      </c>
      <c r="G214" s="3">
        <v>2852.65991210937</v>
      </c>
      <c r="H214" s="3">
        <v>352.95999145507801</v>
      </c>
      <c r="I214" s="3">
        <v>220.782958984375</v>
      </c>
      <c r="J214" s="3">
        <v>277.86999511718699</v>
      </c>
      <c r="K214" s="3">
        <v>162.06341552734301</v>
      </c>
      <c r="L214" s="3">
        <v>4455.47998046875</v>
      </c>
      <c r="N214" s="3">
        <f t="shared" si="91"/>
        <v>-1.7455597368055464E-2</v>
      </c>
      <c r="O214" s="3">
        <f t="shared" si="99"/>
        <v>-1.0606029562205244E-2</v>
      </c>
      <c r="P214" s="3">
        <f t="shared" si="100"/>
        <v>-5.7734157620519255E-3</v>
      </c>
      <c r="Q214" s="3">
        <f t="shared" si="101"/>
        <v>-8.0696366276891141E-3</v>
      </c>
      <c r="R214" s="3">
        <f t="shared" si="102"/>
        <v>2.1677324250642727E-2</v>
      </c>
      <c r="S214" s="3">
        <f t="shared" si="103"/>
        <v>-7.9680758496616377E-3</v>
      </c>
      <c r="T214" s="3">
        <f t="shared" si="104"/>
        <v>1.7550182455483565E-3</v>
      </c>
      <c r="U214" s="3">
        <f t="shared" si="105"/>
        <v>-1.9250214294777024E-2</v>
      </c>
      <c r="V214" s="3">
        <f t="shared" si="106"/>
        <v>6.6357463517094928E-3</v>
      </c>
      <c r="W214" s="3">
        <f t="shared" si="107"/>
        <v>2.3878549675736771E-2</v>
      </c>
      <c r="X214" s="3">
        <f t="shared" si="108"/>
        <v>-2.7802439201884965E-3</v>
      </c>
      <c r="AK214" s="3"/>
      <c r="AL214" s="8"/>
      <c r="AW214" s="3"/>
      <c r="AY214" s="5"/>
      <c r="AZ214" s="28">
        <f t="shared" si="97"/>
        <v>44461</v>
      </c>
      <c r="BA214" s="3">
        <f t="shared" si="98"/>
        <v>209</v>
      </c>
      <c r="BB214" s="3">
        <f t="shared" si="92"/>
        <v>1.4082090066194175</v>
      </c>
      <c r="BC214" s="3">
        <f t="shared" si="93"/>
        <v>1.3809298883289489</v>
      </c>
      <c r="BD214" s="3">
        <f t="shared" si="94"/>
        <v>1.5073969021463218</v>
      </c>
      <c r="BE214" s="3">
        <f t="shared" si="95"/>
        <v>0.99313879233554681</v>
      </c>
      <c r="BG214" s="3">
        <f t="shared" si="96"/>
        <v>1.167507338661733E-2</v>
      </c>
      <c r="BH214" s="3">
        <f t="shared" si="109"/>
        <v>1.1857752804486588E-2</v>
      </c>
      <c r="BI214" s="3">
        <f t="shared" si="110"/>
        <v>1.8537874070060967E-2</v>
      </c>
      <c r="BJ214" s="3">
        <f t="shared" si="111"/>
        <v>2.4982892477723288E-2</v>
      </c>
    </row>
    <row r="215" spans="1:62" x14ac:dyDescent="0.3">
      <c r="A215" s="27">
        <v>44466</v>
      </c>
      <c r="B215" s="3">
        <v>293.6328125</v>
      </c>
      <c r="C215" s="3">
        <v>145.15814208984301</v>
      </c>
      <c r="D215" s="3">
        <v>3405.80004882812</v>
      </c>
      <c r="E215" s="3">
        <v>2821.43994140625</v>
      </c>
      <c r="F215" s="3">
        <v>791.35998535156205</v>
      </c>
      <c r="G215" s="3">
        <v>2830.02001953125</v>
      </c>
      <c r="H215" s="3">
        <v>353.579986572265</v>
      </c>
      <c r="I215" s="3">
        <v>216.573486328125</v>
      </c>
      <c r="J215" s="3">
        <v>279.72000122070301</v>
      </c>
      <c r="K215" s="3">
        <v>165.97982788085901</v>
      </c>
      <c r="L215" s="3">
        <v>4443.10986328125</v>
      </c>
      <c r="N215" s="3">
        <f t="shared" si="91"/>
        <v>-3.6875280054246673E-2</v>
      </c>
      <c r="O215" s="3">
        <f t="shared" si="99"/>
        <v>-2.4089152399204394E-2</v>
      </c>
      <c r="P215" s="3">
        <f t="shared" si="100"/>
        <v>-2.6732712253153323E-2</v>
      </c>
      <c r="Q215" s="3">
        <f t="shared" si="101"/>
        <v>-3.7866237794983881E-2</v>
      </c>
      <c r="R215" s="3">
        <f t="shared" si="102"/>
        <v>-1.7592157468509839E-2</v>
      </c>
      <c r="S215" s="3">
        <f t="shared" si="103"/>
        <v>-3.8299903683482128E-2</v>
      </c>
      <c r="T215" s="3">
        <f t="shared" si="104"/>
        <v>-3.7254190798951647E-2</v>
      </c>
      <c r="U215" s="3">
        <f t="shared" si="105"/>
        <v>-4.5381861450167982E-2</v>
      </c>
      <c r="V215" s="3">
        <f t="shared" si="106"/>
        <v>-1.0529980404907491E-2</v>
      </c>
      <c r="W215" s="3">
        <f t="shared" si="107"/>
        <v>-5.4044347250084002E-3</v>
      </c>
      <c r="X215" s="3">
        <f t="shared" si="108"/>
        <v>-2.0574317739892933E-2</v>
      </c>
      <c r="AK215" s="3"/>
      <c r="AL215" s="8"/>
      <c r="AW215" s="3"/>
      <c r="AY215" s="5"/>
      <c r="AZ215" s="28">
        <f t="shared" si="97"/>
        <v>44462</v>
      </c>
      <c r="BA215" s="3">
        <f t="shared" si="98"/>
        <v>210</v>
      </c>
      <c r="BB215" s="3">
        <f t="shared" si="92"/>
        <v>1.4247462993225879</v>
      </c>
      <c r="BC215" s="3">
        <f t="shared" si="93"/>
        <v>1.3974020821790898</v>
      </c>
      <c r="BD215" s="3">
        <f t="shared" si="94"/>
        <v>1.535601454602965</v>
      </c>
      <c r="BE215" s="3">
        <f t="shared" si="95"/>
        <v>1.0182628004584575</v>
      </c>
      <c r="BG215" s="3">
        <f t="shared" si="96"/>
        <v>5.3695279888317793E-3</v>
      </c>
      <c r="BH215" s="3">
        <f t="shared" si="109"/>
        <v>4.5323720922857413E-3</v>
      </c>
      <c r="BI215" s="3">
        <f t="shared" si="110"/>
        <v>-3.5962861107613486E-4</v>
      </c>
      <c r="BJ215" s="3">
        <f t="shared" si="111"/>
        <v>-7.5733563420364112E-3</v>
      </c>
    </row>
    <row r="216" spans="1:62" x14ac:dyDescent="0.3">
      <c r="A216" s="27">
        <v>44467</v>
      </c>
      <c r="B216" s="3">
        <v>283.00222778320301</v>
      </c>
      <c r="C216" s="3">
        <v>141.70318603515599</v>
      </c>
      <c r="D216" s="3">
        <v>3315.9599609375</v>
      </c>
      <c r="E216" s="3">
        <v>2716.60009765625</v>
      </c>
      <c r="F216" s="3">
        <v>777.55999755859295</v>
      </c>
      <c r="G216" s="3">
        <v>2723.67993164062</v>
      </c>
      <c r="H216" s="3">
        <v>340.64999389648398</v>
      </c>
      <c r="I216" s="3">
        <v>206.96466064453099</v>
      </c>
      <c r="J216" s="3">
        <v>276.79000854492102</v>
      </c>
      <c r="K216" s="3">
        <v>165.08522033691401</v>
      </c>
      <c r="L216" s="3">
        <v>4352.6298828125</v>
      </c>
      <c r="N216" s="3">
        <f t="shared" si="91"/>
        <v>1.6915797965628698E-3</v>
      </c>
      <c r="O216" s="3">
        <f t="shared" si="99"/>
        <v>6.4621381388443311E-3</v>
      </c>
      <c r="P216" s="3">
        <f t="shared" si="100"/>
        <v>-4.4853223639211848E-3</v>
      </c>
      <c r="Q216" s="3">
        <f t="shared" si="101"/>
        <v>-1.092972826169003E-2</v>
      </c>
      <c r="R216" s="3">
        <f t="shared" si="102"/>
        <v>4.8111866228000011E-3</v>
      </c>
      <c r="S216" s="3">
        <f t="shared" si="103"/>
        <v>-1.2286595769045228E-2</v>
      </c>
      <c r="T216" s="3">
        <f t="shared" si="104"/>
        <v>-3.057682024337538E-3</v>
      </c>
      <c r="U216" s="3">
        <f t="shared" si="105"/>
        <v>-8.8315852037137432E-3</v>
      </c>
      <c r="V216" s="3">
        <f t="shared" si="106"/>
        <v>1.8047939658476508E-3</v>
      </c>
      <c r="W216" s="3">
        <f t="shared" si="107"/>
        <v>-7.8309426639666668E-4</v>
      </c>
      <c r="X216" s="3">
        <f t="shared" si="108"/>
        <v>1.5679543362843162E-3</v>
      </c>
      <c r="AK216" s="3"/>
      <c r="AL216" s="8"/>
      <c r="AW216" s="3"/>
      <c r="AY216" s="5"/>
      <c r="AZ216" s="28">
        <f t="shared" si="97"/>
        <v>44463</v>
      </c>
      <c r="BA216" s="3">
        <f t="shared" si="98"/>
        <v>211</v>
      </c>
      <c r="BB216" s="3">
        <f t="shared" si="92"/>
        <v>1.432417090286938</v>
      </c>
      <c r="BC216" s="3">
        <f t="shared" si="93"/>
        <v>1.4037500030810415</v>
      </c>
      <c r="BD216" s="3">
        <f t="shared" si="94"/>
        <v>1.5350493076745471</v>
      </c>
      <c r="BE216" s="3">
        <f t="shared" si="95"/>
        <v>1.0105802614432977</v>
      </c>
      <c r="BG216" s="3">
        <f t="shared" si="96"/>
        <v>-1.5808923518100815E-3</v>
      </c>
      <c r="BH216" s="3">
        <f t="shared" si="109"/>
        <v>-1.9320377005487832E-3</v>
      </c>
      <c r="BI216" s="3">
        <f t="shared" si="110"/>
        <v>1.2481043250910373E-3</v>
      </c>
      <c r="BJ216" s="3">
        <f t="shared" si="111"/>
        <v>1.4725246338211113E-3</v>
      </c>
    </row>
    <row r="217" spans="1:62" x14ac:dyDescent="0.3">
      <c r="A217" s="27">
        <v>44468</v>
      </c>
      <c r="B217" s="3">
        <v>283.481353759765</v>
      </c>
      <c r="C217" s="3">
        <v>142.62185668945301</v>
      </c>
      <c r="D217" s="3">
        <v>3301.1201171875</v>
      </c>
      <c r="E217" s="3">
        <v>2687.07006835937</v>
      </c>
      <c r="F217" s="3">
        <v>781.30999755859295</v>
      </c>
      <c r="G217" s="3">
        <v>2690.419921875</v>
      </c>
      <c r="H217" s="3">
        <v>339.60998535156199</v>
      </c>
      <c r="I217" s="3">
        <v>205.14488220214801</v>
      </c>
      <c r="J217" s="3">
        <v>277.29000854492102</v>
      </c>
      <c r="K217" s="3">
        <v>164.95599365234301</v>
      </c>
      <c r="L217" s="3">
        <v>4359.4599609375</v>
      </c>
      <c r="N217" s="3">
        <f t="shared" si="91"/>
        <v>-7.3507902655141066E-3</v>
      </c>
      <c r="O217" s="3">
        <f t="shared" si="99"/>
        <v>-9.3554099887969144E-3</v>
      </c>
      <c r="P217" s="3">
        <f t="shared" si="100"/>
        <v>-4.8830000164592491E-3</v>
      </c>
      <c r="Q217" s="3">
        <f t="shared" si="101"/>
        <v>-5.0554425780466872E-3</v>
      </c>
      <c r="R217" s="3">
        <f t="shared" si="102"/>
        <v>-7.489827691888884E-3</v>
      </c>
      <c r="S217" s="3">
        <f t="shared" si="103"/>
        <v>-9.3768906785332007E-3</v>
      </c>
      <c r="T217" s="3">
        <f t="shared" si="104"/>
        <v>-6.4792551051695568E-4</v>
      </c>
      <c r="U217" s="3">
        <f t="shared" si="105"/>
        <v>9.6525618051215289E-3</v>
      </c>
      <c r="V217" s="3">
        <f t="shared" si="106"/>
        <v>-1.5811921005811413E-2</v>
      </c>
      <c r="W217" s="3">
        <f t="shared" si="107"/>
        <v>-1.3712123931743925E-2</v>
      </c>
      <c r="X217" s="3">
        <f t="shared" si="108"/>
        <v>-1.1981202945015923E-2</v>
      </c>
      <c r="AK217" s="3"/>
      <c r="AL217" s="8"/>
      <c r="AW217" s="3"/>
      <c r="AY217" s="5"/>
      <c r="AZ217" s="28">
        <f t="shared" si="97"/>
        <v>44466</v>
      </c>
      <c r="BA217" s="3">
        <f t="shared" si="98"/>
        <v>212</v>
      </c>
      <c r="BB217" s="3">
        <f t="shared" si="92"/>
        <v>1.4301543820845977</v>
      </c>
      <c r="BC217" s="3">
        <f t="shared" si="93"/>
        <v>1.4010405234042076</v>
      </c>
      <c r="BD217" s="3">
        <f t="shared" si="94"/>
        <v>1.5369664054748462</v>
      </c>
      <c r="BE217" s="3">
        <f t="shared" si="95"/>
        <v>1.012069461945849</v>
      </c>
      <c r="BG217" s="3">
        <f t="shared" si="96"/>
        <v>-2.8477178522813895E-2</v>
      </c>
      <c r="BH217" s="3">
        <f t="shared" si="109"/>
        <v>-2.7262455083386095E-2</v>
      </c>
      <c r="BI217" s="3">
        <f t="shared" si="110"/>
        <v>-2.1270357329187695E-2</v>
      </c>
      <c r="BJ217" s="3">
        <f t="shared" si="111"/>
        <v>-1.6243359510373406E-2</v>
      </c>
    </row>
    <row r="218" spans="1:62" x14ac:dyDescent="0.3">
      <c r="A218" s="27">
        <v>44469</v>
      </c>
      <c r="B218" s="3">
        <v>281.405181884765</v>
      </c>
      <c r="C218" s="3">
        <v>141.29379272460901</v>
      </c>
      <c r="D218" s="3">
        <v>3285.0400390625</v>
      </c>
      <c r="E218" s="3">
        <v>2673.52001953125</v>
      </c>
      <c r="F218" s="3">
        <v>775.47998046875</v>
      </c>
      <c r="G218" s="3">
        <v>2665.31005859375</v>
      </c>
      <c r="H218" s="3">
        <v>339.39001464843699</v>
      </c>
      <c r="I218" s="3">
        <v>207.13464355468699</v>
      </c>
      <c r="J218" s="3">
        <v>272.94000244140602</v>
      </c>
      <c r="K218" s="3">
        <v>162.70953369140599</v>
      </c>
      <c r="L218" s="3">
        <v>4307.5400390625</v>
      </c>
      <c r="N218" s="3">
        <f t="shared" si="91"/>
        <v>2.5149242571656849E-2</v>
      </c>
      <c r="O218" s="3">
        <f t="shared" si="99"/>
        <v>8.0942996335950923E-3</v>
      </c>
      <c r="P218" s="3">
        <f t="shared" si="100"/>
        <v>-5.4200609814536449E-4</v>
      </c>
      <c r="Q218" s="3">
        <f t="shared" si="101"/>
        <v>2.1220653725829486E-2</v>
      </c>
      <c r="R218" s="3">
        <f t="shared" si="102"/>
        <v>-3.3534503933552173E-4</v>
      </c>
      <c r="S218" s="3">
        <f t="shared" si="103"/>
        <v>2.370645063986565E-2</v>
      </c>
      <c r="T218" s="3">
        <f t="shared" si="104"/>
        <v>1.0609697962726372E-2</v>
      </c>
      <c r="U218" s="3">
        <f t="shared" si="105"/>
        <v>1.2542614189454682E-3</v>
      </c>
      <c r="V218" s="3">
        <f t="shared" si="106"/>
        <v>1.0097557934117596E-2</v>
      </c>
      <c r="W218" s="3">
        <f t="shared" si="107"/>
        <v>2.0797605115985718E-2</v>
      </c>
      <c r="X218" s="3">
        <f t="shared" si="108"/>
        <v>1.1425952113334858E-2</v>
      </c>
      <c r="AK218" s="3"/>
      <c r="AL218" s="8"/>
      <c r="AW218" s="3"/>
      <c r="AY218" s="5"/>
      <c r="AZ218" s="28">
        <f t="shared" si="97"/>
        <v>44467</v>
      </c>
      <c r="BA218" s="3">
        <f t="shared" si="98"/>
        <v>213</v>
      </c>
      <c r="BB218" s="3">
        <f t="shared" si="92"/>
        <v>1.3900020464691953</v>
      </c>
      <c r="BC218" s="3">
        <f t="shared" si="93"/>
        <v>1.3633606753868117</v>
      </c>
      <c r="BD218" s="3">
        <f t="shared" si="94"/>
        <v>1.5046198121596566</v>
      </c>
      <c r="BE218" s="3">
        <f t="shared" si="95"/>
        <v>0.99576284944622595</v>
      </c>
      <c r="BG218" s="3">
        <f t="shared" si="96"/>
        <v>-2.8661971038519973E-3</v>
      </c>
      <c r="BH218" s="3">
        <f t="shared" si="109"/>
        <v>-2.7898296378082721E-3</v>
      </c>
      <c r="BI218" s="3">
        <f t="shared" si="110"/>
        <v>2.6526456449871283E-4</v>
      </c>
      <c r="BJ218" s="3">
        <f t="shared" si="111"/>
        <v>3.2562257705454024E-3</v>
      </c>
    </row>
    <row r="219" spans="1:62" x14ac:dyDescent="0.3">
      <c r="A219" s="27">
        <v>44470</v>
      </c>
      <c r="B219" s="3">
        <v>288.57205200195301</v>
      </c>
      <c r="C219" s="3">
        <v>142.44210815429599</v>
      </c>
      <c r="D219" s="3">
        <v>3283.26000976562</v>
      </c>
      <c r="E219" s="3">
        <v>2730.86010742187</v>
      </c>
      <c r="F219" s="3">
        <v>775.219970703125</v>
      </c>
      <c r="G219" s="3">
        <v>2729.25</v>
      </c>
      <c r="H219" s="3">
        <v>343.010009765625</v>
      </c>
      <c r="I219" s="3">
        <v>207.394607543945</v>
      </c>
      <c r="J219" s="3">
        <v>275.70999145507801</v>
      </c>
      <c r="K219" s="3">
        <v>166.12893676757801</v>
      </c>
      <c r="L219" s="3">
        <v>4357.0400390625</v>
      </c>
      <c r="N219" s="3">
        <f t="shared" si="91"/>
        <v>-2.0937147577992476E-2</v>
      </c>
      <c r="O219" s="3">
        <f t="shared" si="99"/>
        <v>-2.4913443721703565E-2</v>
      </c>
      <c r="P219" s="3">
        <f t="shared" si="100"/>
        <v>-2.8884876129556147E-2</v>
      </c>
      <c r="Q219" s="3">
        <f t="shared" si="101"/>
        <v>-2.1344123346523247E-2</v>
      </c>
      <c r="R219" s="3">
        <f t="shared" si="102"/>
        <v>8.1067520815798488E-3</v>
      </c>
      <c r="S219" s="3">
        <f t="shared" si="103"/>
        <v>-1.9965304334394141E-2</v>
      </c>
      <c r="T219" s="3">
        <f t="shared" si="104"/>
        <v>-5.0156941977827607E-2</v>
      </c>
      <c r="U219" s="3">
        <f t="shared" si="105"/>
        <v>-4.9918902850197178E-2</v>
      </c>
      <c r="V219" s="3">
        <f t="shared" si="106"/>
        <v>-7.536130264352181E-3</v>
      </c>
      <c r="W219" s="3">
        <f t="shared" si="107"/>
        <v>-1.0776945990071951E-3</v>
      </c>
      <c r="X219" s="3">
        <f t="shared" si="108"/>
        <v>-1.3070952048643392E-2</v>
      </c>
      <c r="AK219" s="3"/>
      <c r="AL219" s="8"/>
      <c r="AW219" s="3"/>
      <c r="AY219" s="5"/>
      <c r="AZ219" s="28">
        <f t="shared" si="97"/>
        <v>44468</v>
      </c>
      <c r="BA219" s="3">
        <f t="shared" si="98"/>
        <v>214</v>
      </c>
      <c r="BB219" s="3">
        <f t="shared" si="92"/>
        <v>1.3860237306713827</v>
      </c>
      <c r="BC219" s="3">
        <f t="shared" si="93"/>
        <v>1.3595624320570261</v>
      </c>
      <c r="BD219" s="3">
        <f t="shared" si="94"/>
        <v>1.5050189874200504</v>
      </c>
      <c r="BE219" s="3">
        <f t="shared" si="95"/>
        <v>0.99901056287239465</v>
      </c>
      <c r="BG219" s="3">
        <f t="shared" si="96"/>
        <v>-6.1883929586800113E-3</v>
      </c>
      <c r="BH219" s="3">
        <f t="shared" si="109"/>
        <v>-7.591216759773145E-3</v>
      </c>
      <c r="BI219" s="3">
        <f t="shared" si="110"/>
        <v>-6.7354393905494914E-3</v>
      </c>
      <c r="BJ219" s="3">
        <f t="shared" si="111"/>
        <v>-5.8574337321053195E-3</v>
      </c>
    </row>
    <row r="220" spans="1:62" x14ac:dyDescent="0.3">
      <c r="A220" s="27">
        <v>44473</v>
      </c>
      <c r="B220" s="3">
        <v>282.59298706054602</v>
      </c>
      <c r="C220" s="3">
        <v>138.93722534179599</v>
      </c>
      <c r="D220" s="3">
        <v>3189.78002929687</v>
      </c>
      <c r="E220" s="3">
        <v>2673.18994140625</v>
      </c>
      <c r="F220" s="3">
        <v>781.530029296875</v>
      </c>
      <c r="G220" s="3">
        <v>2675.30004882812</v>
      </c>
      <c r="H220" s="3">
        <v>326.23001098632801</v>
      </c>
      <c r="I220" s="3">
        <v>197.29585266113199</v>
      </c>
      <c r="J220" s="3">
        <v>273.64001464843699</v>
      </c>
      <c r="K220" s="3">
        <v>165.94999694824199</v>
      </c>
      <c r="L220" s="3">
        <v>4300.4599609375</v>
      </c>
      <c r="N220" s="3">
        <f t="shared" si="91"/>
        <v>1.9760473811811785E-2</v>
      </c>
      <c r="O220" s="3">
        <f t="shared" si="99"/>
        <v>1.4059132650809936E-2</v>
      </c>
      <c r="P220" s="3">
        <f t="shared" si="100"/>
        <v>9.7399122631749435E-3</v>
      </c>
      <c r="Q220" s="3">
        <f t="shared" si="101"/>
        <v>1.7528475403612909E-2</v>
      </c>
      <c r="R220" s="3">
        <f t="shared" si="102"/>
        <v>-1.2034959171840498E-3</v>
      </c>
      <c r="S220" s="3">
        <f t="shared" si="103"/>
        <v>1.7870977216099426E-2</v>
      </c>
      <c r="T220" s="3">
        <f t="shared" si="104"/>
        <v>2.0419649229357795E-2</v>
      </c>
      <c r="U220" s="3">
        <f t="shared" si="105"/>
        <v>3.5790009945507073E-2</v>
      </c>
      <c r="V220" s="3">
        <f t="shared" si="106"/>
        <v>1.5987482306702994E-2</v>
      </c>
      <c r="W220" s="3">
        <f t="shared" si="107"/>
        <v>1.6198356083101828E-2</v>
      </c>
      <c r="X220" s="3">
        <f t="shared" si="108"/>
        <v>1.0469517498600922E-2</v>
      </c>
      <c r="AK220" s="3"/>
      <c r="AL220" s="8"/>
      <c r="AW220" s="3"/>
      <c r="AY220" s="5"/>
      <c r="AZ220" s="28">
        <f t="shared" si="97"/>
        <v>44469</v>
      </c>
      <c r="BA220" s="3">
        <f t="shared" si="98"/>
        <v>215</v>
      </c>
      <c r="BB220" s="3">
        <f t="shared" si="92"/>
        <v>1.3774729562405739</v>
      </c>
      <c r="BC220" s="3">
        <f t="shared" si="93"/>
        <v>1.3492807734610437</v>
      </c>
      <c r="BD220" s="3">
        <f t="shared" si="94"/>
        <v>1.4949160851856049</v>
      </c>
      <c r="BE220" s="3">
        <f t="shared" si="95"/>
        <v>0.99317602908188063</v>
      </c>
      <c r="BG220" s="3">
        <f t="shared" si="96"/>
        <v>1.2339272112203481E-2</v>
      </c>
      <c r="BH220" s="3">
        <f t="shared" si="109"/>
        <v>1.4053184072440272E-2</v>
      </c>
      <c r="BI220" s="3">
        <f t="shared" si="110"/>
        <v>8.3933684375643303E-3</v>
      </c>
      <c r="BJ220" s="3">
        <f t="shared" si="111"/>
        <v>3.148363293688125E-3</v>
      </c>
    </row>
    <row r="221" spans="1:62" x14ac:dyDescent="0.3">
      <c r="A221" s="27">
        <v>44474</v>
      </c>
      <c r="B221" s="3">
        <v>288.23269653320301</v>
      </c>
      <c r="C221" s="3">
        <v>140.90435791015599</v>
      </c>
      <c r="D221" s="3">
        <v>3221</v>
      </c>
      <c r="E221" s="3">
        <v>2720.4599609375</v>
      </c>
      <c r="F221" s="3">
        <v>780.59002685546795</v>
      </c>
      <c r="G221" s="3">
        <v>2723.5400390625</v>
      </c>
      <c r="H221" s="3">
        <v>332.95999145507801</v>
      </c>
      <c r="I221" s="3">
        <v>204.48495483398401</v>
      </c>
      <c r="J221" s="3">
        <v>278.04998779296801</v>
      </c>
      <c r="K221" s="3">
        <v>168.66000366210901</v>
      </c>
      <c r="L221" s="3">
        <v>4345.72021484375</v>
      </c>
      <c r="N221" s="3">
        <f t="shared" si="91"/>
        <v>1.4951914740289673E-2</v>
      </c>
      <c r="O221" s="3">
        <f t="shared" si="99"/>
        <v>6.2873253371886761E-3</v>
      </c>
      <c r="P221" s="3">
        <f t="shared" si="100"/>
        <v>1.2651702442727952E-2</v>
      </c>
      <c r="Q221" s="3">
        <f t="shared" si="101"/>
        <v>1.1272575700758125E-2</v>
      </c>
      <c r="R221" s="3">
        <f t="shared" si="102"/>
        <v>2.7632817964624579E-3</v>
      </c>
      <c r="S221" s="3">
        <f t="shared" si="103"/>
        <v>8.6060387477076006E-3</v>
      </c>
      <c r="T221" s="3">
        <f t="shared" si="104"/>
        <v>2.0402742965135445E-3</v>
      </c>
      <c r="U221" s="3">
        <f t="shared" si="105"/>
        <v>1.2101944604382631E-2</v>
      </c>
      <c r="V221" s="3">
        <f t="shared" si="106"/>
        <v>7.7741035680354287E-3</v>
      </c>
      <c r="W221" s="3">
        <f t="shared" si="107"/>
        <v>2.1322005347110817E-3</v>
      </c>
      <c r="X221" s="3">
        <f t="shared" si="108"/>
        <v>4.0943993496238562E-3</v>
      </c>
      <c r="AK221" s="3"/>
      <c r="AL221" s="8"/>
      <c r="AW221" s="3"/>
      <c r="AY221" s="5"/>
      <c r="AZ221" s="28">
        <f t="shared" si="97"/>
        <v>44470</v>
      </c>
      <c r="BA221" s="3">
        <f t="shared" si="98"/>
        <v>216</v>
      </c>
      <c r="BB221" s="3">
        <f t="shared" si="92"/>
        <v>1.3945752679176815</v>
      </c>
      <c r="BC221" s="3">
        <f t="shared" si="93"/>
        <v>1.3683763269326554</v>
      </c>
      <c r="BD221" s="3">
        <f t="shared" si="94"/>
        <v>1.5075162717036494</v>
      </c>
      <c r="BE221" s="3">
        <f t="shared" si="95"/>
        <v>0.99630783548124668</v>
      </c>
      <c r="BG221" s="3">
        <f t="shared" si="96"/>
        <v>-2.1039897264739926E-2</v>
      </c>
      <c r="BH221" s="3">
        <f t="shared" si="109"/>
        <v>-2.0213880292504816E-2</v>
      </c>
      <c r="BI221" s="3">
        <f t="shared" si="110"/>
        <v>-1.845377525539077E-2</v>
      </c>
      <c r="BJ221" s="3">
        <f t="shared" si="111"/>
        <v>-1.9123123392387077E-2</v>
      </c>
    </row>
    <row r="222" spans="1:62" x14ac:dyDescent="0.3">
      <c r="A222" s="27">
        <v>44475</v>
      </c>
      <c r="B222" s="3">
        <v>292.57470703125</v>
      </c>
      <c r="C222" s="3">
        <v>141.79306030273401</v>
      </c>
      <c r="D222" s="3">
        <v>3262.01000976562</v>
      </c>
      <c r="E222" s="3">
        <v>2751.30004882812</v>
      </c>
      <c r="F222" s="3">
        <v>782.75</v>
      </c>
      <c r="G222" s="3">
        <v>2747.080078125</v>
      </c>
      <c r="H222" s="3">
        <v>333.64001464843699</v>
      </c>
      <c r="I222" s="3">
        <v>206.97465515136699</v>
      </c>
      <c r="J222" s="3">
        <v>280.22000122070301</v>
      </c>
      <c r="K222" s="3">
        <v>169.02000427246</v>
      </c>
      <c r="L222" s="3">
        <v>4363.5498046875</v>
      </c>
      <c r="N222" s="3">
        <f t="shared" si="91"/>
        <v>5.9188708609072549E-3</v>
      </c>
      <c r="O222" s="3">
        <f t="shared" si="99"/>
        <v>9.043465968212594E-3</v>
      </c>
      <c r="P222" s="3">
        <f t="shared" si="100"/>
        <v>1.2314967634603491E-2</v>
      </c>
      <c r="Q222" s="3">
        <f t="shared" si="101"/>
        <v>1.1994779049425475E-2</v>
      </c>
      <c r="R222" s="3">
        <f t="shared" si="102"/>
        <v>1.3778778033229244E-2</v>
      </c>
      <c r="S222" s="3">
        <f t="shared" si="103"/>
        <v>1.3245998539596293E-2</v>
      </c>
      <c r="T222" s="3">
        <f t="shared" si="104"/>
        <v>-1.3336387271525751E-2</v>
      </c>
      <c r="U222" s="3">
        <f t="shared" si="105"/>
        <v>1.7953810175579399E-2</v>
      </c>
      <c r="V222" s="3">
        <f t="shared" si="106"/>
        <v>9.695233431222583E-3</v>
      </c>
      <c r="W222" s="3">
        <f t="shared" si="107"/>
        <v>6.310610801401495E-3</v>
      </c>
      <c r="X222" s="3">
        <f t="shared" si="108"/>
        <v>8.2640392250663552E-3</v>
      </c>
      <c r="AK222" s="3"/>
      <c r="AL222" s="8"/>
      <c r="AW222" s="3"/>
      <c r="AY222" s="5"/>
      <c r="AZ222" s="28">
        <f t="shared" si="97"/>
        <v>44473</v>
      </c>
      <c r="BA222" s="3">
        <f t="shared" si="98"/>
        <v>217</v>
      </c>
      <c r="BB222" s="3">
        <f t="shared" si="92"/>
        <v>1.3655400674641021</v>
      </c>
      <c r="BC222" s="3">
        <f t="shared" si="93"/>
        <v>1.3409938174199227</v>
      </c>
      <c r="BD222" s="3">
        <f t="shared" si="94"/>
        <v>1.4799520197147038</v>
      </c>
      <c r="BE222" s="3">
        <f t="shared" si="95"/>
        <v>0.97743633392876095</v>
      </c>
      <c r="BG222" s="3">
        <f t="shared" si="96"/>
        <v>1.6745072414548701E-2</v>
      </c>
      <c r="BH222" s="3">
        <f t="shared" si="109"/>
        <v>1.703286557542355E-2</v>
      </c>
      <c r="BI222" s="3">
        <f t="shared" si="110"/>
        <v>1.8448924696128133E-2</v>
      </c>
      <c r="BJ222" s="3">
        <f t="shared" si="111"/>
        <v>2.0912789750453908E-2</v>
      </c>
    </row>
    <row r="223" spans="1:62" x14ac:dyDescent="0.3">
      <c r="A223" s="27">
        <v>44476</v>
      </c>
      <c r="B223" s="3">
        <v>294.31155395507801</v>
      </c>
      <c r="C223" s="3">
        <v>143.08117675781199</v>
      </c>
      <c r="D223" s="3">
        <v>3302.42993164062</v>
      </c>
      <c r="E223" s="3">
        <v>2784.5</v>
      </c>
      <c r="F223" s="3">
        <v>793.60998535156205</v>
      </c>
      <c r="G223" s="3">
        <v>2783.7099609375</v>
      </c>
      <c r="H223" s="3">
        <v>329.22000122070301</v>
      </c>
      <c r="I223" s="3">
        <v>210.724197387695</v>
      </c>
      <c r="J223" s="3">
        <v>282.95001220703102</v>
      </c>
      <c r="K223" s="3">
        <v>170.08999633789</v>
      </c>
      <c r="L223" s="3">
        <v>4399.759765625</v>
      </c>
      <c r="N223" s="3">
        <f t="shared" si="91"/>
        <v>0</v>
      </c>
      <c r="O223" s="3">
        <f t="shared" si="99"/>
        <v>-2.7254860767911282E-3</v>
      </c>
      <c r="P223" s="3">
        <f t="shared" si="100"/>
        <v>-4.1904808973729502E-3</v>
      </c>
      <c r="Q223" s="3">
        <f t="shared" si="101"/>
        <v>4.0177613729994732E-3</v>
      </c>
      <c r="R223" s="3">
        <f t="shared" si="102"/>
        <v>-1.028442380238026E-2</v>
      </c>
      <c r="S223" s="3">
        <f t="shared" si="103"/>
        <v>6.2348226911774773E-3</v>
      </c>
      <c r="T223" s="3">
        <f t="shared" si="104"/>
        <v>2.5178971425736663E-3</v>
      </c>
      <c r="U223" s="3">
        <f t="shared" si="105"/>
        <v>-1.1645222884019368E-2</v>
      </c>
      <c r="V223" s="3">
        <f t="shared" si="106"/>
        <v>4.1968792669804245E-3</v>
      </c>
      <c r="W223" s="3">
        <f t="shared" si="107"/>
        <v>7.6403802456592729E-4</v>
      </c>
      <c r="X223" s="3">
        <f t="shared" si="108"/>
        <v>-1.9155566024213755E-3</v>
      </c>
      <c r="AK223" s="3"/>
      <c r="AL223" s="8"/>
      <c r="AW223" s="3"/>
      <c r="AY223" s="5"/>
      <c r="AZ223" s="28">
        <f t="shared" si="97"/>
        <v>44474</v>
      </c>
      <c r="BA223" s="3">
        <f t="shared" si="98"/>
        <v>218</v>
      </c>
      <c r="BB223" s="3">
        <f t="shared" si="92"/>
        <v>1.388598654841555</v>
      </c>
      <c r="BC223" s="3">
        <f t="shared" si="93"/>
        <v>1.3640304175636428</v>
      </c>
      <c r="BD223" s="3">
        <f t="shared" si="94"/>
        <v>1.5075089594243685</v>
      </c>
      <c r="BE223" s="3">
        <f t="shared" si="95"/>
        <v>0.99809249058894922</v>
      </c>
      <c r="BG223" s="3">
        <f t="shared" si="96"/>
        <v>8.0115019455169745E-3</v>
      </c>
      <c r="BH223" s="3">
        <f t="shared" si="109"/>
        <v>8.3496732747360691E-3</v>
      </c>
      <c r="BI223" s="3">
        <f t="shared" si="110"/>
        <v>7.6459963920190166E-3</v>
      </c>
      <c r="BJ223" s="3">
        <f t="shared" si="111"/>
        <v>7.9127291147685994E-3</v>
      </c>
    </row>
    <row r="224" spans="1:62" x14ac:dyDescent="0.3">
      <c r="A224" s="27">
        <v>44477</v>
      </c>
      <c r="B224" s="3">
        <v>294.31155395507801</v>
      </c>
      <c r="C224" s="3">
        <v>142.69174194335901</v>
      </c>
      <c r="D224" s="3">
        <v>3288.6201171875</v>
      </c>
      <c r="E224" s="3">
        <v>2795.7099609375</v>
      </c>
      <c r="F224" s="3">
        <v>785.489990234375</v>
      </c>
      <c r="G224" s="3">
        <v>2801.1201171875</v>
      </c>
      <c r="H224" s="3">
        <v>330.04998779296801</v>
      </c>
      <c r="I224" s="3">
        <v>208.28450012207</v>
      </c>
      <c r="J224" s="3">
        <v>284.14001464843699</v>
      </c>
      <c r="K224" s="3">
        <v>170.22000122070301</v>
      </c>
      <c r="L224" s="3">
        <v>4391.33984375</v>
      </c>
      <c r="N224" s="3">
        <f t="shared" si="91"/>
        <v>-2.1049718732060185E-3</v>
      </c>
      <c r="O224" s="3">
        <f t="shared" si="99"/>
        <v>-6.2994055194209864E-4</v>
      </c>
      <c r="P224" s="3">
        <f t="shared" si="100"/>
        <v>-1.295215822428375E-2</v>
      </c>
      <c r="Q224" s="3">
        <f t="shared" si="101"/>
        <v>-6.2540436859883641E-3</v>
      </c>
      <c r="R224" s="3">
        <f t="shared" si="102"/>
        <v>8.1779200143712316E-3</v>
      </c>
      <c r="S224" s="3">
        <f t="shared" si="103"/>
        <v>-8.6661935006366875E-3</v>
      </c>
      <c r="T224" s="3">
        <f t="shared" si="104"/>
        <v>-1.4035243622819493E-2</v>
      </c>
      <c r="U224" s="3">
        <f t="shared" si="105"/>
        <v>-6.5501329549295662E-3</v>
      </c>
      <c r="V224" s="3">
        <f t="shared" si="106"/>
        <v>-1.1361624088519484E-2</v>
      </c>
      <c r="W224" s="3">
        <f t="shared" si="107"/>
        <v>-2.1255931930122429E-2</v>
      </c>
      <c r="X224" s="3">
        <f t="shared" si="108"/>
        <v>-6.8894416443399109E-3</v>
      </c>
      <c r="AK224" s="3"/>
      <c r="AL224" s="8"/>
      <c r="AW224" s="3"/>
      <c r="AY224" s="5"/>
      <c r="AZ224" s="28">
        <f t="shared" si="97"/>
        <v>44475</v>
      </c>
      <c r="BA224" s="3">
        <f t="shared" si="98"/>
        <v>219</v>
      </c>
      <c r="BB224" s="3">
        <f t="shared" si="92"/>
        <v>1.3997680979321696</v>
      </c>
      <c r="BC224" s="3">
        <f t="shared" si="93"/>
        <v>1.3754673065849743</v>
      </c>
      <c r="BD224" s="3">
        <f t="shared" si="94"/>
        <v>1.5190795454493649</v>
      </c>
      <c r="BE224" s="3">
        <f t="shared" si="95"/>
        <v>1.0060214546004826</v>
      </c>
      <c r="BG224" s="3">
        <f t="shared" si="96"/>
        <v>9.1474975278075799E-3</v>
      </c>
      <c r="BH224" s="3">
        <f t="shared" si="109"/>
        <v>8.7014716039491846E-3</v>
      </c>
      <c r="BI224" s="3">
        <f t="shared" si="110"/>
        <v>1.1088155996389015E-2</v>
      </c>
      <c r="BJ224" s="3">
        <f t="shared" si="111"/>
        <v>1.331562267091083E-2</v>
      </c>
    </row>
    <row r="225" spans="1:62" x14ac:dyDescent="0.3">
      <c r="A225" s="27">
        <v>44480</v>
      </c>
      <c r="B225" s="3">
        <v>293.69268798828102</v>
      </c>
      <c r="C225" s="3">
        <v>142.60188293457</v>
      </c>
      <c r="D225" s="3">
        <v>3246.30004882812</v>
      </c>
      <c r="E225" s="3">
        <v>2778.28002929687</v>
      </c>
      <c r="F225" s="3">
        <v>791.94000244140602</v>
      </c>
      <c r="G225" s="3">
        <v>2776.94995117187</v>
      </c>
      <c r="H225" s="3">
        <v>325.45001220703102</v>
      </c>
      <c r="I225" s="3">
        <v>206.92466735839801</v>
      </c>
      <c r="J225" s="3">
        <v>280.92999267578102</v>
      </c>
      <c r="K225" s="3">
        <v>166.63999938964801</v>
      </c>
      <c r="L225" s="3">
        <v>4361.18994140625</v>
      </c>
      <c r="N225" s="3">
        <f t="shared" si="91"/>
        <v>-4.5988038945470322E-3</v>
      </c>
      <c r="O225" s="3">
        <f t="shared" si="99"/>
        <v>-9.1447280868717229E-3</v>
      </c>
      <c r="P225" s="3">
        <f t="shared" si="100"/>
        <v>3.1724298593438505E-4</v>
      </c>
      <c r="Q225" s="3">
        <f t="shared" si="101"/>
        <v>-1.7904135884057482E-2</v>
      </c>
      <c r="R225" s="3">
        <f t="shared" si="102"/>
        <v>1.7250616797375606E-2</v>
      </c>
      <c r="S225" s="3">
        <f t="shared" si="103"/>
        <v>-1.5492349429655938E-2</v>
      </c>
      <c r="T225" s="3">
        <f t="shared" si="104"/>
        <v>-5.1755242916069477E-3</v>
      </c>
      <c r="U225" s="3">
        <f t="shared" si="105"/>
        <v>-1.1603944488278728E-3</v>
      </c>
      <c r="V225" s="3">
        <f t="shared" si="106"/>
        <v>-8.2566731559126083E-3</v>
      </c>
      <c r="W225" s="3">
        <f t="shared" si="107"/>
        <v>-7.7108742254621276E-3</v>
      </c>
      <c r="X225" s="3">
        <f t="shared" si="108"/>
        <v>-2.4197056865542521E-3</v>
      </c>
      <c r="AK225" s="3"/>
      <c r="AL225" s="8"/>
      <c r="AW225" s="3"/>
      <c r="AY225" s="5"/>
      <c r="AZ225" s="28">
        <f t="shared" si="97"/>
        <v>44476</v>
      </c>
      <c r="BA225" s="3">
        <f t="shared" si="98"/>
        <v>220</v>
      </c>
      <c r="BB225" s="3">
        <f t="shared" si="92"/>
        <v>1.4126312161232744</v>
      </c>
      <c r="BC225" s="3">
        <f t="shared" si="93"/>
        <v>1.3874881198311064</v>
      </c>
      <c r="BD225" s="3">
        <f t="shared" si="94"/>
        <v>1.5360170658195516</v>
      </c>
      <c r="BE225" s="3">
        <f t="shared" si="95"/>
        <v>1.0195068405919856</v>
      </c>
      <c r="BG225" s="3">
        <f t="shared" si="96"/>
        <v>-1.211985866707066E-3</v>
      </c>
      <c r="BH225" s="3">
        <f t="shared" si="109"/>
        <v>2.2679059503416532E-4</v>
      </c>
      <c r="BI225" s="3">
        <f t="shared" si="110"/>
        <v>-3.8804896191084737E-3</v>
      </c>
      <c r="BJ225" s="3">
        <f t="shared" si="111"/>
        <v>-7.5245290132688169E-3</v>
      </c>
    </row>
    <row r="226" spans="1:62" x14ac:dyDescent="0.3">
      <c r="A226" s="27">
        <v>44481</v>
      </c>
      <c r="B226" s="3">
        <v>292.34515380859301</v>
      </c>
      <c r="C226" s="3">
        <v>141.30377197265599</v>
      </c>
      <c r="D226" s="3">
        <v>3247.330078125</v>
      </c>
      <c r="E226" s="3">
        <v>2728.97998046875</v>
      </c>
      <c r="F226" s="3">
        <v>805.719970703125</v>
      </c>
      <c r="G226" s="3">
        <v>2734.26000976562</v>
      </c>
      <c r="H226" s="3">
        <v>323.76998901367102</v>
      </c>
      <c r="I226" s="3">
        <v>206.68469238281199</v>
      </c>
      <c r="J226" s="3">
        <v>278.61999511718699</v>
      </c>
      <c r="K226" s="3">
        <v>165.36000061035099</v>
      </c>
      <c r="L226" s="3">
        <v>4350.64990234375</v>
      </c>
      <c r="N226" s="3">
        <f t="shared" si="91"/>
        <v>1.1643235811916952E-2</v>
      </c>
      <c r="O226" s="3">
        <f t="shared" si="99"/>
        <v>-4.2489652546873202E-3</v>
      </c>
      <c r="P226" s="3">
        <f t="shared" si="100"/>
        <v>1.1314314461017716E-2</v>
      </c>
      <c r="Q226" s="3">
        <f t="shared" si="101"/>
        <v>8.2691526709561813E-3</v>
      </c>
      <c r="R226" s="3">
        <f t="shared" si="102"/>
        <v>6.630462721629371E-3</v>
      </c>
      <c r="S226" s="3">
        <f t="shared" si="103"/>
        <v>8.6449432629747136E-3</v>
      </c>
      <c r="T226" s="3">
        <f t="shared" si="104"/>
        <v>2.3754682057708365E-3</v>
      </c>
      <c r="U226" s="3">
        <f t="shared" si="105"/>
        <v>1.2881698688983256E-2</v>
      </c>
      <c r="V226" s="3">
        <f t="shared" si="106"/>
        <v>-2.587513967623245E-3</v>
      </c>
      <c r="W226" s="3">
        <f t="shared" si="107"/>
        <v>-2.6720554080092995E-2</v>
      </c>
      <c r="X226" s="3">
        <f t="shared" si="108"/>
        <v>3.0179558702307929E-3</v>
      </c>
      <c r="AK226" s="3"/>
      <c r="AL226" s="8"/>
      <c r="AW226" s="3"/>
      <c r="AY226" s="5"/>
      <c r="AZ226" s="28">
        <f t="shared" si="97"/>
        <v>44477</v>
      </c>
      <c r="BA226" s="3">
        <f t="shared" si="98"/>
        <v>221</v>
      </c>
      <c r="BB226" s="3">
        <f t="shared" si="92"/>
        <v>1.410920164149317</v>
      </c>
      <c r="BC226" s="3">
        <f t="shared" si="93"/>
        <v>1.3878028247721172</v>
      </c>
      <c r="BD226" s="3">
        <f t="shared" si="94"/>
        <v>1.5300681174221515</v>
      </c>
      <c r="BE226" s="3">
        <f t="shared" si="95"/>
        <v>1.0118643210298042</v>
      </c>
      <c r="BG226" s="3">
        <f t="shared" si="96"/>
        <v>-7.2383996389167593E-3</v>
      </c>
      <c r="BH226" s="3">
        <f t="shared" si="109"/>
        <v>-8.4958701861289621E-3</v>
      </c>
      <c r="BI226" s="3">
        <f t="shared" si="110"/>
        <v>-8.8760882092969173E-3</v>
      </c>
      <c r="BJ226" s="3">
        <f t="shared" si="111"/>
        <v>-9.8399253933513786E-3</v>
      </c>
    </row>
    <row r="227" spans="1:62" x14ac:dyDescent="0.3">
      <c r="A227" s="27">
        <v>44482</v>
      </c>
      <c r="B227" s="3">
        <v>295.76889038085898</v>
      </c>
      <c r="C227" s="3">
        <v>140.70465087890599</v>
      </c>
      <c r="D227" s="3">
        <v>3284.28002929687</v>
      </c>
      <c r="E227" s="3">
        <v>2751.63989257812</v>
      </c>
      <c r="F227" s="3">
        <v>811.08001708984295</v>
      </c>
      <c r="G227" s="3">
        <v>2758</v>
      </c>
      <c r="H227" s="3">
        <v>324.54000854492102</v>
      </c>
      <c r="I227" s="3">
        <v>209.36436462402301</v>
      </c>
      <c r="J227" s="3">
        <v>277.89999389648398</v>
      </c>
      <c r="K227" s="3">
        <v>161</v>
      </c>
      <c r="L227" s="3">
        <v>4363.7998046875</v>
      </c>
      <c r="N227" s="3">
        <f t="shared" si="91"/>
        <v>2.1501123020236435E-2</v>
      </c>
      <c r="O227" s="3">
        <f t="shared" si="99"/>
        <v>2.0023810430812361E-2</v>
      </c>
      <c r="P227" s="3">
        <f t="shared" si="100"/>
        <v>4.7326171318502475E-3</v>
      </c>
      <c r="Q227" s="3">
        <f t="shared" si="101"/>
        <v>2.5610182305032758E-2</v>
      </c>
      <c r="R227" s="3">
        <f t="shared" si="102"/>
        <v>8.8867531283218781E-3</v>
      </c>
      <c r="S227" s="3">
        <f t="shared" si="103"/>
        <v>2.5148827238852256E-2</v>
      </c>
      <c r="T227" s="3">
        <f t="shared" si="104"/>
        <v>1.2219332799402238E-2</v>
      </c>
      <c r="U227" s="3">
        <f t="shared" si="105"/>
        <v>3.7816399879343265E-2</v>
      </c>
      <c r="V227" s="3">
        <f t="shared" si="106"/>
        <v>1.3368396876676236E-2</v>
      </c>
      <c r="W227" s="3">
        <f t="shared" si="107"/>
        <v>1.5225129746097465E-2</v>
      </c>
      <c r="X227" s="3">
        <f t="shared" si="108"/>
        <v>1.6919162285711664E-2</v>
      </c>
      <c r="AK227" s="3"/>
      <c r="AL227" s="8"/>
      <c r="AW227" s="3"/>
      <c r="AY227" s="5"/>
      <c r="AZ227" s="28">
        <f t="shared" si="97"/>
        <v>44480</v>
      </c>
      <c r="BA227" s="3">
        <f t="shared" si="98"/>
        <v>222</v>
      </c>
      <c r="BB227" s="3">
        <f t="shared" si="92"/>
        <v>1.4007442332998268</v>
      </c>
      <c r="BC227" s="3">
        <f t="shared" si="93"/>
        <v>1.3760621762614642</v>
      </c>
      <c r="BD227" s="3">
        <f t="shared" si="94"/>
        <v>1.5165471930745897</v>
      </c>
      <c r="BE227" s="3">
        <f t="shared" si="95"/>
        <v>1.0019564777650085</v>
      </c>
      <c r="BG227" s="3">
        <f t="shared" si="96"/>
        <v>-5.1319986207413737E-3</v>
      </c>
      <c r="BH227" s="3">
        <f t="shared" si="109"/>
        <v>-7.074786561667934E-3</v>
      </c>
      <c r="BI227" s="3">
        <f t="shared" si="110"/>
        <v>-2.4308939347540415E-3</v>
      </c>
      <c r="BJ227" s="3">
        <f t="shared" si="111"/>
        <v>1.043598064315897E-3</v>
      </c>
    </row>
    <row r="228" spans="1:62" x14ac:dyDescent="0.3">
      <c r="A228" s="27">
        <v>44483</v>
      </c>
      <c r="B228" s="3">
        <v>302.19711303710898</v>
      </c>
      <c r="C228" s="3">
        <v>143.55049133300699</v>
      </c>
      <c r="D228" s="3">
        <v>3299.86010742187</v>
      </c>
      <c r="E228" s="3">
        <v>2823.02001953125</v>
      </c>
      <c r="F228" s="3">
        <v>818.32000732421795</v>
      </c>
      <c r="G228" s="3">
        <v>2828.23999023437</v>
      </c>
      <c r="H228" s="3">
        <v>328.52999877929602</v>
      </c>
      <c r="I228" s="3">
        <v>217.43338012695301</v>
      </c>
      <c r="J228" s="3">
        <v>281.64001464843699</v>
      </c>
      <c r="K228" s="3">
        <v>163.47000122070301</v>
      </c>
      <c r="L228" s="3">
        <v>4438.259765625</v>
      </c>
      <c r="N228" s="3">
        <f t="shared" si="91"/>
        <v>4.8108788580156769E-3</v>
      </c>
      <c r="O228" s="3">
        <f t="shared" si="99"/>
        <v>7.484470867449744E-3</v>
      </c>
      <c r="P228" s="3">
        <f t="shared" si="100"/>
        <v>3.2544789807417374E-2</v>
      </c>
      <c r="Q228" s="3">
        <f t="shared" si="101"/>
        <v>1.5362112447796505E-3</v>
      </c>
      <c r="R228" s="3">
        <f t="shared" si="102"/>
        <v>2.9749112210073037E-2</v>
      </c>
      <c r="S228" s="3">
        <f t="shared" si="103"/>
        <v>1.8580900175741988E-3</v>
      </c>
      <c r="T228" s="3">
        <f t="shared" si="104"/>
        <v>-1.1541676175594873E-2</v>
      </c>
      <c r="U228" s="3">
        <f t="shared" si="105"/>
        <v>5.3201056070397712E-3</v>
      </c>
      <c r="V228" s="3">
        <f t="shared" si="106"/>
        <v>9.0836598046957207E-3</v>
      </c>
      <c r="W228" s="3">
        <f t="shared" si="107"/>
        <v>1.902626087376813E-2</v>
      </c>
      <c r="X228" s="3">
        <f t="shared" si="108"/>
        <v>7.43252063718991E-3</v>
      </c>
      <c r="AK228" s="3"/>
      <c r="AL228" s="8"/>
      <c r="AW228" s="3"/>
      <c r="AY228" s="5"/>
      <c r="AZ228" s="28">
        <f t="shared" si="97"/>
        <v>44481</v>
      </c>
      <c r="BA228" s="3">
        <f t="shared" si="98"/>
        <v>223</v>
      </c>
      <c r="BB228" s="3">
        <f t="shared" si="92"/>
        <v>1.3935740302995157</v>
      </c>
      <c r="BC228" s="3">
        <f t="shared" si="93"/>
        <v>1.3663611867472376</v>
      </c>
      <c r="BD228" s="3">
        <f t="shared" si="94"/>
        <v>1.5128651048972819</v>
      </c>
      <c r="BE228" s="3">
        <f t="shared" si="95"/>
        <v>1.0030026634094398</v>
      </c>
      <c r="BG228" s="3">
        <f t="shared" si="96"/>
        <v>3.0085300496292544E-3</v>
      </c>
      <c r="BH228" s="3">
        <f t="shared" si="109"/>
        <v>1.9284294737594299E-3</v>
      </c>
      <c r="BI228" s="3">
        <f t="shared" si="110"/>
        <v>-2.4697112172701319E-3</v>
      </c>
      <c r="BJ228" s="3">
        <f t="shared" si="111"/>
        <v>-5.9259915421149851E-3</v>
      </c>
    </row>
    <row r="229" spans="1:62" x14ac:dyDescent="0.3">
      <c r="A229" s="27">
        <v>44484</v>
      </c>
      <c r="B229" s="3">
        <v>303.65444946289</v>
      </c>
      <c r="C229" s="3">
        <v>144.62892150878901</v>
      </c>
      <c r="D229" s="3">
        <v>3409.02001953125</v>
      </c>
      <c r="E229" s="3">
        <v>2827.36010742187</v>
      </c>
      <c r="F229" s="3">
        <v>843.030029296875</v>
      </c>
      <c r="G229" s="3">
        <v>2833.5</v>
      </c>
      <c r="H229" s="3">
        <v>324.760009765625</v>
      </c>
      <c r="I229" s="3">
        <v>218.59323120117099</v>
      </c>
      <c r="J229" s="3">
        <v>284.20999145507801</v>
      </c>
      <c r="K229" s="3">
        <v>166.61000061035099</v>
      </c>
      <c r="L229" s="3">
        <v>4471.3701171875</v>
      </c>
      <c r="N229" s="3">
        <f t="shared" si="91"/>
        <v>1.0073761358977862E-2</v>
      </c>
      <c r="O229" s="3">
        <f t="shared" si="99"/>
        <v>1.1736956925775921E-2</v>
      </c>
      <c r="P229" s="3">
        <f t="shared" si="100"/>
        <v>1.1003988257323627E-2</v>
      </c>
      <c r="Q229" s="3">
        <f t="shared" si="101"/>
        <v>9.9245394318483449E-3</v>
      </c>
      <c r="R229" s="3">
        <f t="shared" si="102"/>
        <v>3.1617044293490437E-2</v>
      </c>
      <c r="S229" s="3">
        <f t="shared" si="103"/>
        <v>9.0326526091963899E-3</v>
      </c>
      <c r="T229" s="3">
        <f t="shared" si="104"/>
        <v>3.2058453524545172E-2</v>
      </c>
      <c r="U229" s="3">
        <f t="shared" si="105"/>
        <v>1.6332839086227402E-2</v>
      </c>
      <c r="V229" s="3">
        <f t="shared" si="106"/>
        <v>-5.7163005057665472E-3</v>
      </c>
      <c r="W229" s="3">
        <f t="shared" si="107"/>
        <v>-3.6017264127163884E-4</v>
      </c>
      <c r="X229" s="3">
        <f t="shared" si="108"/>
        <v>3.369087801804227E-3</v>
      </c>
      <c r="AK229" s="3"/>
      <c r="AL229" s="8"/>
      <c r="AW229" s="3"/>
      <c r="AY229" s="5"/>
      <c r="AZ229" s="28">
        <f t="shared" si="97"/>
        <v>44482</v>
      </c>
      <c r="BA229" s="3">
        <f t="shared" si="98"/>
        <v>224</v>
      </c>
      <c r="BB229" s="3">
        <f t="shared" si="92"/>
        <v>1.3977729527711453</v>
      </c>
      <c r="BC229" s="3">
        <f t="shared" si="93"/>
        <v>1.3689986602049762</v>
      </c>
      <c r="BD229" s="3">
        <f t="shared" si="94"/>
        <v>1.5091333750218658</v>
      </c>
      <c r="BE229" s="3">
        <f t="shared" si="95"/>
        <v>0.99707645478318574</v>
      </c>
      <c r="BG229" s="3">
        <f t="shared" si="96"/>
        <v>1.9240819902109518E-2</v>
      </c>
      <c r="BH229" s="3">
        <f t="shared" si="109"/>
        <v>1.8850436765032785E-2</v>
      </c>
      <c r="BI229" s="3">
        <f t="shared" si="110"/>
        <v>1.9280026313098109E-2</v>
      </c>
      <c r="BJ229" s="3">
        <f t="shared" si="111"/>
        <v>1.9948676838549513E-2</v>
      </c>
    </row>
    <row r="230" spans="1:62" x14ac:dyDescent="0.3">
      <c r="A230" s="27">
        <v>44487</v>
      </c>
      <c r="B230" s="3">
        <v>306.72885131835898</v>
      </c>
      <c r="C230" s="3">
        <v>146.33642578125</v>
      </c>
      <c r="D230" s="3">
        <v>3446.73999023437</v>
      </c>
      <c r="E230" s="3">
        <v>2855.56005859375</v>
      </c>
      <c r="F230" s="3">
        <v>870.10998535156205</v>
      </c>
      <c r="G230" s="3">
        <v>2859.2099609375</v>
      </c>
      <c r="H230" s="3">
        <v>335.33999633789</v>
      </c>
      <c r="I230" s="3">
        <v>222.19279479980401</v>
      </c>
      <c r="J230" s="3">
        <v>282.58999633789</v>
      </c>
      <c r="K230" s="3">
        <v>166.55000305175699</v>
      </c>
      <c r="L230" s="3">
        <v>4486.4599609375</v>
      </c>
      <c r="N230" s="3">
        <f t="shared" si="91"/>
        <v>3.0543629595634059E-3</v>
      </c>
      <c r="O230" s="3">
        <f t="shared" si="99"/>
        <v>1.4967551999971462E-2</v>
      </c>
      <c r="P230" s="3">
        <f t="shared" si="100"/>
        <v>-7.5174267851352283E-4</v>
      </c>
      <c r="Q230" s="3">
        <f t="shared" si="101"/>
        <v>3.2096007002690996E-3</v>
      </c>
      <c r="R230" s="3">
        <f t="shared" si="102"/>
        <v>-6.734381017973412E-3</v>
      </c>
      <c r="S230" s="3">
        <f t="shared" si="103"/>
        <v>6.0080488142739696E-3</v>
      </c>
      <c r="T230" s="3">
        <f t="shared" si="104"/>
        <v>1.3771245100621776E-2</v>
      </c>
      <c r="U230" s="3">
        <f t="shared" si="105"/>
        <v>3.0553565784279257E-3</v>
      </c>
      <c r="V230" s="3">
        <f t="shared" si="106"/>
        <v>7.895392964861081E-3</v>
      </c>
      <c r="W230" s="3">
        <f t="shared" si="107"/>
        <v>1.2055554278277647E-2</v>
      </c>
      <c r="X230" s="3">
        <f t="shared" si="108"/>
        <v>7.3661427842353078E-3</v>
      </c>
      <c r="AK230" s="3"/>
      <c r="AL230" s="8"/>
      <c r="AW230" s="3"/>
      <c r="AY230" s="5"/>
      <c r="AZ230" s="28">
        <f t="shared" si="97"/>
        <v>44483</v>
      </c>
      <c r="BA230" s="3">
        <f t="shared" si="98"/>
        <v>225</v>
      </c>
      <c r="BB230" s="3">
        <f t="shared" si="92"/>
        <v>1.42492765202032</v>
      </c>
      <c r="BC230" s="3">
        <f t="shared" si="93"/>
        <v>1.3950496477206542</v>
      </c>
      <c r="BD230" s="3">
        <f t="shared" si="94"/>
        <v>1.5385118046112731</v>
      </c>
      <c r="BE230" s="3">
        <f t="shared" si="95"/>
        <v>1.0171665297372401</v>
      </c>
      <c r="BG230" s="3">
        <f t="shared" si="96"/>
        <v>9.8986807982779923E-3</v>
      </c>
      <c r="BH230" s="3">
        <f t="shared" si="109"/>
        <v>8.971994281300244E-3</v>
      </c>
      <c r="BI230" s="3">
        <f t="shared" si="110"/>
        <v>1.4646481531798816E-2</v>
      </c>
      <c r="BJ230" s="3">
        <f t="shared" si="111"/>
        <v>1.9490449316866717E-2</v>
      </c>
    </row>
    <row r="231" spans="1:62" x14ac:dyDescent="0.3">
      <c r="A231" s="27">
        <v>44488</v>
      </c>
      <c r="B231" s="3">
        <v>307.66714477539</v>
      </c>
      <c r="C231" s="3">
        <v>148.543197631835</v>
      </c>
      <c r="D231" s="3">
        <v>3444.14990234375</v>
      </c>
      <c r="E231" s="3">
        <v>2864.73999023437</v>
      </c>
      <c r="F231" s="3">
        <v>864.27001953125</v>
      </c>
      <c r="G231" s="3">
        <v>2876.43994140625</v>
      </c>
      <c r="H231" s="3">
        <v>339.989990234375</v>
      </c>
      <c r="I231" s="3">
        <v>222.87271118164</v>
      </c>
      <c r="J231" s="3">
        <v>284.829986572265</v>
      </c>
      <c r="K231" s="3">
        <v>168.57000732421801</v>
      </c>
      <c r="L231" s="3">
        <v>4519.6298828125</v>
      </c>
      <c r="N231" s="3">
        <f t="shared" si="91"/>
        <v>-2.6639265476653406E-3</v>
      </c>
      <c r="O231" s="3">
        <f t="shared" si="99"/>
        <v>3.3555600429862054E-3</v>
      </c>
      <c r="P231" s="3">
        <f t="shared" si="100"/>
        <v>-8.4820316977776145E-3</v>
      </c>
      <c r="Q231" s="3">
        <f t="shared" si="101"/>
        <v>-1.0301666535842635E-2</v>
      </c>
      <c r="R231" s="3">
        <f t="shared" si="102"/>
        <v>1.7686783240913329E-3</v>
      </c>
      <c r="S231" s="3">
        <f t="shared" si="103"/>
        <v>-9.8310558272878268E-3</v>
      </c>
      <c r="T231" s="3">
        <f t="shared" si="104"/>
        <v>2.3209275153099895E-3</v>
      </c>
      <c r="U231" s="3">
        <f t="shared" si="105"/>
        <v>-8.4247796368686068E-3</v>
      </c>
      <c r="V231" s="3">
        <f t="shared" si="106"/>
        <v>9.2955791292768097E-3</v>
      </c>
      <c r="W231" s="3">
        <f t="shared" si="107"/>
        <v>1.3376287296026135E-2</v>
      </c>
      <c r="X231" s="3">
        <f t="shared" si="108"/>
        <v>3.6573335985607969E-3</v>
      </c>
      <c r="AK231" s="3"/>
      <c r="AL231" s="8"/>
      <c r="AW231" s="3"/>
      <c r="AY231" s="5"/>
      <c r="AZ231" s="28">
        <f t="shared" si="97"/>
        <v>44484</v>
      </c>
      <c r="BA231" s="3">
        <f t="shared" si="98"/>
        <v>226</v>
      </c>
      <c r="BB231" s="3">
        <f t="shared" si="92"/>
        <v>1.4391025968928008</v>
      </c>
      <c r="BC231" s="3">
        <f t="shared" si="93"/>
        <v>1.4076223419141025</v>
      </c>
      <c r="BD231" s="3">
        <f t="shared" si="94"/>
        <v>1.5612114182893424</v>
      </c>
      <c r="BE231" s="3">
        <f t="shared" si="95"/>
        <v>1.0371860231503176</v>
      </c>
      <c r="BG231" s="3">
        <f t="shared" si="96"/>
        <v>1.29067502506231E-2</v>
      </c>
      <c r="BH231" s="3">
        <f t="shared" si="109"/>
        <v>9.8991405265495547E-3</v>
      </c>
      <c r="BI231" s="3">
        <f t="shared" si="110"/>
        <v>8.0883203447363328E-3</v>
      </c>
      <c r="BJ231" s="3">
        <f t="shared" si="111"/>
        <v>4.6215262819793781E-3</v>
      </c>
    </row>
    <row r="232" spans="1:62" x14ac:dyDescent="0.3">
      <c r="A232" s="27">
        <v>44489</v>
      </c>
      <c r="B232" s="3">
        <v>306.8486328125</v>
      </c>
      <c r="C232" s="3">
        <v>149.04248046875</v>
      </c>
      <c r="D232" s="3">
        <v>3415.06005859375</v>
      </c>
      <c r="E232" s="3">
        <v>2835.3798828125</v>
      </c>
      <c r="F232" s="3">
        <v>865.79998779296795</v>
      </c>
      <c r="G232" s="3">
        <v>2848.30004882812</v>
      </c>
      <c r="H232" s="3">
        <v>340.77999877929602</v>
      </c>
      <c r="I232" s="3">
        <v>221.00294494628901</v>
      </c>
      <c r="J232" s="3">
        <v>287.489990234375</v>
      </c>
      <c r="K232" s="3">
        <v>170.83999633789</v>
      </c>
      <c r="L232" s="3">
        <v>4536.18994140625</v>
      </c>
      <c r="N232" s="3">
        <f t="shared" si="91"/>
        <v>1.0838514972949298E-2</v>
      </c>
      <c r="O232" s="3">
        <f t="shared" si="99"/>
        <v>1.4727600416470921E-3</v>
      </c>
      <c r="P232" s="3">
        <f t="shared" si="100"/>
        <v>5.824760149204522E-3</v>
      </c>
      <c r="Q232" s="3">
        <f t="shared" si="101"/>
        <v>8.2497684996329923E-4</v>
      </c>
      <c r="R232" s="3">
        <f t="shared" si="102"/>
        <v>3.2051854264770085E-2</v>
      </c>
      <c r="S232" s="3">
        <f t="shared" si="103"/>
        <v>2.5631759251742992E-3</v>
      </c>
      <c r="T232" s="3">
        <f t="shared" si="104"/>
        <v>3.2227083750511198E-3</v>
      </c>
      <c r="U232" s="3">
        <f t="shared" si="105"/>
        <v>2.6299040349658576E-2</v>
      </c>
      <c r="V232" s="3">
        <f t="shared" si="106"/>
        <v>-2.333176218202837E-3</v>
      </c>
      <c r="W232" s="3">
        <f t="shared" si="107"/>
        <v>-7.8744977168563324E-3</v>
      </c>
      <c r="X232" s="3">
        <f t="shared" si="108"/>
        <v>2.9913931683598349E-3</v>
      </c>
      <c r="AK232" s="3"/>
      <c r="AL232" s="8"/>
      <c r="AW232" s="3"/>
      <c r="AY232" s="5"/>
      <c r="AZ232" s="28">
        <f t="shared" si="97"/>
        <v>44487</v>
      </c>
      <c r="BA232" s="3">
        <f t="shared" si="98"/>
        <v>227</v>
      </c>
      <c r="BB232" s="3">
        <f t="shared" si="92"/>
        <v>1.4577971179360643</v>
      </c>
      <c r="BC232" s="3">
        <f t="shared" si="93"/>
        <v>1.4216257899820439</v>
      </c>
      <c r="BD232" s="3">
        <f t="shared" si="94"/>
        <v>1.5738902022781613</v>
      </c>
      <c r="BE232" s="3">
        <f t="shared" si="95"/>
        <v>1.0419904990701101</v>
      </c>
      <c r="BG232" s="3">
        <f t="shared" si="96"/>
        <v>5.2145933562885438E-3</v>
      </c>
      <c r="BH232" s="3">
        <f t="shared" si="109"/>
        <v>6.1775551229354408E-3</v>
      </c>
      <c r="BI232" s="3">
        <f t="shared" si="110"/>
        <v>6.3242326849040076E-3</v>
      </c>
      <c r="BJ232" s="3">
        <f t="shared" si="111"/>
        <v>6.9853816582501616E-3</v>
      </c>
    </row>
    <row r="233" spans="1:62" x14ac:dyDescent="0.3">
      <c r="A233" s="27">
        <v>44490</v>
      </c>
      <c r="B233" s="3">
        <v>310.19250488281199</v>
      </c>
      <c r="C233" s="3">
        <v>149.26214599609301</v>
      </c>
      <c r="D233" s="3">
        <v>3435.01000976562</v>
      </c>
      <c r="E233" s="3">
        <v>2837.71997070312</v>
      </c>
      <c r="F233" s="3">
        <v>894</v>
      </c>
      <c r="G233" s="3">
        <v>2855.61010742187</v>
      </c>
      <c r="H233" s="3">
        <v>341.88000488281199</v>
      </c>
      <c r="I233" s="3">
        <v>226.89221191406199</v>
      </c>
      <c r="J233" s="3">
        <v>286.82000732421801</v>
      </c>
      <c r="K233" s="3">
        <v>169.5</v>
      </c>
      <c r="L233" s="3">
        <v>4549.77978515625</v>
      </c>
      <c r="N233" s="3">
        <f t="shared" si="91"/>
        <v>-5.1619622045881997E-3</v>
      </c>
      <c r="O233" s="3">
        <f t="shared" si="99"/>
        <v>-5.2989017044451359E-3</v>
      </c>
      <c r="P233" s="3">
        <f t="shared" si="100"/>
        <v>-2.938224177107962E-2</v>
      </c>
      <c r="Q233" s="3">
        <f t="shared" si="101"/>
        <v>-3.091644299444507E-2</v>
      </c>
      <c r="R233" s="3">
        <f t="shared" si="102"/>
        <v>1.7387106091530491E-2</v>
      </c>
      <c r="S233" s="3">
        <f t="shared" si="103"/>
        <v>-2.953607790650814E-2</v>
      </c>
      <c r="T233" s="3">
        <f t="shared" si="104"/>
        <v>-5.1835395953107266E-2</v>
      </c>
      <c r="U233" s="3">
        <f t="shared" si="105"/>
        <v>1.4972368433463501E-3</v>
      </c>
      <c r="V233" s="3">
        <f t="shared" si="106"/>
        <v>8.4018927066944471E-3</v>
      </c>
      <c r="W233" s="3">
        <f t="shared" si="107"/>
        <v>1.3361654411368384E-2</v>
      </c>
      <c r="X233" s="3">
        <f t="shared" si="108"/>
        <v>-1.0731292246628499E-3</v>
      </c>
      <c r="AK233" s="3"/>
      <c r="AL233" s="8"/>
      <c r="AW233" s="3"/>
      <c r="AY233" s="5"/>
      <c r="AZ233" s="28">
        <f t="shared" si="97"/>
        <v>44488</v>
      </c>
      <c r="BA233" s="3">
        <f t="shared" si="98"/>
        <v>228</v>
      </c>
      <c r="BB233" s="3">
        <f t="shared" si="92"/>
        <v>1.4654187917963131</v>
      </c>
      <c r="BC233" s="3">
        <f t="shared" si="93"/>
        <v>1.4304351437828626</v>
      </c>
      <c r="BD233" s="3">
        <f t="shared" si="94"/>
        <v>1.583875391186343</v>
      </c>
      <c r="BE233" s="3">
        <f t="shared" si="95"/>
        <v>1.0492946819419677</v>
      </c>
      <c r="BG233" s="3">
        <f t="shared" si="96"/>
        <v>-1.2501887921820276E-3</v>
      </c>
      <c r="BH233" s="3">
        <f t="shared" si="109"/>
        <v>-5.3368692477373525E-4</v>
      </c>
      <c r="BI233" s="3">
        <f t="shared" si="110"/>
        <v>3.564681503194056E-3</v>
      </c>
      <c r="BJ233" s="3">
        <f t="shared" si="111"/>
        <v>7.1270612628973606E-3</v>
      </c>
    </row>
    <row r="234" spans="1:62" x14ac:dyDescent="0.3">
      <c r="A234" s="27">
        <v>44491</v>
      </c>
      <c r="B234" s="3">
        <v>308.59542846679602</v>
      </c>
      <c r="C234" s="3">
        <v>148.47331237792901</v>
      </c>
      <c r="D234" s="3">
        <v>3335.55004882812</v>
      </c>
      <c r="E234" s="3">
        <v>2751.330078125</v>
      </c>
      <c r="F234" s="3">
        <v>909.67999267578102</v>
      </c>
      <c r="G234" s="3">
        <v>2772.5</v>
      </c>
      <c r="H234" s="3">
        <v>324.60998535156199</v>
      </c>
      <c r="I234" s="3">
        <v>227.232177734375</v>
      </c>
      <c r="J234" s="3">
        <v>289.239990234375</v>
      </c>
      <c r="K234" s="3">
        <v>171.77999877929599</v>
      </c>
      <c r="L234" s="3">
        <v>4544.89990234375</v>
      </c>
      <c r="N234" s="3">
        <f t="shared" si="91"/>
        <v>-3.3371301435085599E-3</v>
      </c>
      <c r="O234" s="3">
        <f t="shared" si="99"/>
        <v>-3.3632410612405295E-4</v>
      </c>
      <c r="P234" s="3">
        <f t="shared" si="100"/>
        <v>-4.5613401546980015E-3</v>
      </c>
      <c r="Q234" s="3">
        <f t="shared" si="101"/>
        <v>-8.6909801180912183E-4</v>
      </c>
      <c r="R234" s="3">
        <f t="shared" si="102"/>
        <v>0.11921840131986716</v>
      </c>
      <c r="S234" s="3">
        <f t="shared" si="103"/>
        <v>1.0670449099077217E-3</v>
      </c>
      <c r="T234" s="3">
        <f t="shared" si="104"/>
        <v>1.2490648130120796E-2</v>
      </c>
      <c r="U234" s="3">
        <f t="shared" si="105"/>
        <v>1.9176036573485433E-2</v>
      </c>
      <c r="V234" s="3">
        <f t="shared" si="106"/>
        <v>3.5203471429223754E-3</v>
      </c>
      <c r="W234" s="3">
        <f t="shared" si="107"/>
        <v>-4.9019492117619023E-3</v>
      </c>
      <c r="X234" s="3">
        <f t="shared" si="108"/>
        <v>4.7369594408532834E-3</v>
      </c>
      <c r="AK234" s="3"/>
      <c r="AL234" s="8"/>
      <c r="AW234" s="3"/>
      <c r="AY234" s="5"/>
      <c r="AZ234" s="28">
        <f t="shared" si="97"/>
        <v>44489</v>
      </c>
      <c r="BA234" s="3">
        <f t="shared" si="98"/>
        <v>229</v>
      </c>
      <c r="BB234" s="3">
        <f t="shared" si="92"/>
        <v>1.4635878863741467</v>
      </c>
      <c r="BC234" s="3">
        <f t="shared" si="93"/>
        <v>1.4296719429231635</v>
      </c>
      <c r="BD234" s="3">
        <f t="shared" si="94"/>
        <v>1.5895314775806431</v>
      </c>
      <c r="BE234" s="3">
        <f t="shared" si="95"/>
        <v>1.0567997823096138</v>
      </c>
      <c r="BG234" s="3">
        <f t="shared" si="96"/>
        <v>8.279196338253858E-3</v>
      </c>
      <c r="BH234" s="3">
        <f t="shared" si="109"/>
        <v>5.0541811632533462E-3</v>
      </c>
      <c r="BI234" s="3">
        <f t="shared" si="110"/>
        <v>8.7707595369787006E-3</v>
      </c>
      <c r="BJ234" s="3">
        <f t="shared" si="111"/>
        <v>1.1028348018058007E-2</v>
      </c>
    </row>
    <row r="235" spans="1:62" x14ac:dyDescent="0.3">
      <c r="A235" s="27">
        <v>44494</v>
      </c>
      <c r="B235" s="3">
        <v>307.56732177734301</v>
      </c>
      <c r="C235" s="3">
        <v>148.42338562011699</v>
      </c>
      <c r="D235" s="3">
        <v>3320.3701171875</v>
      </c>
      <c r="E235" s="3">
        <v>2748.93994140625</v>
      </c>
      <c r="F235" s="3">
        <v>1024.85998535156</v>
      </c>
      <c r="G235" s="3">
        <v>2775.4599609375</v>
      </c>
      <c r="H235" s="3">
        <v>328.69000244140602</v>
      </c>
      <c r="I235" s="3">
        <v>231.63163757324199</v>
      </c>
      <c r="J235" s="3">
        <v>290.260009765625</v>
      </c>
      <c r="K235" s="3">
        <v>170.94000244140599</v>
      </c>
      <c r="L235" s="3">
        <v>4566.47998046875</v>
      </c>
      <c r="N235" s="3">
        <f t="shared" si="91"/>
        <v>6.4051869374015524E-3</v>
      </c>
      <c r="O235" s="3">
        <f t="shared" si="99"/>
        <v>4.5644264868940354E-3</v>
      </c>
      <c r="P235" s="3">
        <f t="shared" si="100"/>
        <v>1.6636073568701448E-2</v>
      </c>
      <c r="Q235" s="3">
        <f t="shared" si="101"/>
        <v>1.3452503327056498E-2</v>
      </c>
      <c r="R235" s="3">
        <f t="shared" si="102"/>
        <v>-6.2937849939777024E-3</v>
      </c>
      <c r="S235" s="3">
        <f t="shared" si="103"/>
        <v>6.4573051265517378E-3</v>
      </c>
      <c r="T235" s="3">
        <f t="shared" si="104"/>
        <v>-3.9974305556346401E-2</v>
      </c>
      <c r="U235" s="3">
        <f t="shared" si="105"/>
        <v>6.4805584856413745E-2</v>
      </c>
      <c r="V235" s="3">
        <f t="shared" si="106"/>
        <v>2.0305846552446383E-3</v>
      </c>
      <c r="W235" s="3">
        <f t="shared" si="107"/>
        <v>2.6873385337893296E-3</v>
      </c>
      <c r="X235" s="3">
        <f t="shared" si="108"/>
        <v>1.8181414322437917E-3</v>
      </c>
      <c r="AK235" s="3"/>
      <c r="AL235" s="8"/>
      <c r="AW235" s="3"/>
      <c r="AY235" s="5"/>
      <c r="AZ235" s="28">
        <f t="shared" si="97"/>
        <v>44490</v>
      </c>
      <c r="BA235" s="3">
        <f t="shared" si="98"/>
        <v>230</v>
      </c>
      <c r="BB235" s="3">
        <f t="shared" si="92"/>
        <v>1.4757555174444932</v>
      </c>
      <c r="BC235" s="3">
        <f t="shared" si="93"/>
        <v>1.4369160550334592</v>
      </c>
      <c r="BD235" s="3">
        <f t="shared" si="94"/>
        <v>1.6035341934091045</v>
      </c>
      <c r="BE235" s="3">
        <f t="shared" si="95"/>
        <v>1.0685190413491277</v>
      </c>
      <c r="BG235" s="3">
        <f t="shared" si="96"/>
        <v>-9.6902437055855217E-3</v>
      </c>
      <c r="BH235" s="3">
        <f t="shared" si="109"/>
        <v>-1.0440125546845591E-2</v>
      </c>
      <c r="BI235" s="3">
        <f t="shared" si="110"/>
        <v>6.4904282649424494E-3</v>
      </c>
      <c r="BJ235" s="3">
        <f t="shared" si="111"/>
        <v>2.0943864801541187E-2</v>
      </c>
    </row>
    <row r="236" spans="1:62" x14ac:dyDescent="0.3">
      <c r="A236" s="27">
        <v>44495</v>
      </c>
      <c r="B236" s="3">
        <v>309.54367065429602</v>
      </c>
      <c r="C236" s="3">
        <v>149.10240173339801</v>
      </c>
      <c r="D236" s="3">
        <v>3376.07006835937</v>
      </c>
      <c r="E236" s="3">
        <v>2786.169921875</v>
      </c>
      <c r="F236" s="3">
        <v>1018.42999267578</v>
      </c>
      <c r="G236" s="3">
        <v>2793.43994140625</v>
      </c>
      <c r="H236" s="3">
        <v>315.80999755859301</v>
      </c>
      <c r="I236" s="3">
        <v>247.13973999023401</v>
      </c>
      <c r="J236" s="3">
        <v>290.850006103515</v>
      </c>
      <c r="K236" s="3">
        <v>171.39999389648401</v>
      </c>
      <c r="L236" s="3">
        <v>4574.7900390625</v>
      </c>
      <c r="N236" s="3">
        <f t="shared" si="91"/>
        <v>4.1251564613189018E-2</v>
      </c>
      <c r="O236" s="3">
        <f t="shared" si="99"/>
        <v>-3.1525631401105869E-3</v>
      </c>
      <c r="P236" s="3">
        <f t="shared" si="100"/>
        <v>4.8518308011189504E-3</v>
      </c>
      <c r="Q236" s="3">
        <f t="shared" si="101"/>
        <v>4.8404402322404394E-2</v>
      </c>
      <c r="R236" s="3">
        <f t="shared" si="102"/>
        <v>1.8898668165248544E-2</v>
      </c>
      <c r="S236" s="3">
        <f t="shared" si="103"/>
        <v>4.7233646383402217E-2</v>
      </c>
      <c r="T236" s="3">
        <f t="shared" si="104"/>
        <v>-1.1432687762449767E-2</v>
      </c>
      <c r="U236" s="3">
        <f t="shared" si="105"/>
        <v>-1.0820187445308882E-2</v>
      </c>
      <c r="V236" s="3">
        <f t="shared" si="106"/>
        <v>-1.061139624839047E-2</v>
      </c>
      <c r="W236" s="3">
        <f t="shared" si="107"/>
        <v>-2.1048397323641943E-2</v>
      </c>
      <c r="X236" s="3">
        <f t="shared" si="108"/>
        <v>-5.0643703711052979E-3</v>
      </c>
      <c r="AK236" s="3"/>
      <c r="AL236" s="8"/>
      <c r="AW236" s="3"/>
      <c r="AY236" s="5"/>
      <c r="AZ236" s="28">
        <f t="shared" ref="AZ236:AZ259" si="112">A234</f>
        <v>44491</v>
      </c>
      <c r="BA236" s="3">
        <f t="shared" ref="BA236:BA259" si="113">BA235+1</f>
        <v>231</v>
      </c>
      <c r="BB236" s="3">
        <f t="shared" si="92"/>
        <v>1.4615241508968935</v>
      </c>
      <c r="BC236" s="3">
        <f t="shared" si="93"/>
        <v>1.4219925084193625</v>
      </c>
      <c r="BD236" s="3">
        <f t="shared" si="94"/>
        <v>1.6139756652192263</v>
      </c>
      <c r="BE236" s="3">
        <f t="shared" si="95"/>
        <v>1.0911339548800179</v>
      </c>
      <c r="BG236" s="3">
        <f t="shared" si="96"/>
        <v>1.8377667686591881E-2</v>
      </c>
      <c r="BH236" s="3">
        <f t="shared" si="109"/>
        <v>8.844320526304017E-3</v>
      </c>
      <c r="BI236" s="3">
        <f t="shared" si="110"/>
        <v>1.6255595923067523E-2</v>
      </c>
      <c r="BJ236" s="3">
        <f t="shared" si="111"/>
        <v>1.4279156328820222E-2</v>
      </c>
    </row>
    <row r="237" spans="1:62" x14ac:dyDescent="0.3">
      <c r="A237" s="27">
        <v>44496</v>
      </c>
      <c r="B237" s="3">
        <v>322.57986450195301</v>
      </c>
      <c r="C237" s="3">
        <v>148.63308715820301</v>
      </c>
      <c r="D237" s="3">
        <v>3392.48999023437</v>
      </c>
      <c r="E237" s="3">
        <v>2924.35009765625</v>
      </c>
      <c r="F237" s="3">
        <v>1037.85998535156</v>
      </c>
      <c r="G237" s="3">
        <v>2928.55004882812</v>
      </c>
      <c r="H237" s="3">
        <v>312.22000122070301</v>
      </c>
      <c r="I237" s="3">
        <v>244.480056762695</v>
      </c>
      <c r="J237" s="3">
        <v>287.77999877929602</v>
      </c>
      <c r="K237" s="3">
        <v>167.83000183105401</v>
      </c>
      <c r="L237" s="3">
        <v>4551.68017578125</v>
      </c>
      <c r="N237" s="3">
        <f t="shared" si="91"/>
        <v>3.644619510429159E-3</v>
      </c>
      <c r="O237" s="3">
        <f t="shared" si="99"/>
        <v>2.4684354623071947E-2</v>
      </c>
      <c r="P237" s="3">
        <f t="shared" si="100"/>
        <v>1.5815391265993739E-2</v>
      </c>
      <c r="Q237" s="3">
        <f t="shared" si="101"/>
        <v>-2.5234393536566202E-3</v>
      </c>
      <c r="R237" s="3">
        <f t="shared" si="102"/>
        <v>3.7055687183180197E-2</v>
      </c>
      <c r="S237" s="3">
        <f t="shared" si="103"/>
        <v>-2.0406221175184314E-3</v>
      </c>
      <c r="T237" s="3">
        <f t="shared" si="104"/>
        <v>1.4941347028241125E-2</v>
      </c>
      <c r="U237" s="3">
        <f t="shared" si="105"/>
        <v>1.9841977449121195E-2</v>
      </c>
      <c r="V237" s="3">
        <f t="shared" si="106"/>
        <v>6.7186484470385111E-3</v>
      </c>
      <c r="W237" s="3">
        <f t="shared" si="107"/>
        <v>1.4962275407467196E-2</v>
      </c>
      <c r="X237" s="3">
        <f t="shared" si="108"/>
        <v>9.7812884241843534E-3</v>
      </c>
      <c r="AK237" s="3"/>
      <c r="AL237" s="8"/>
      <c r="AW237" s="3"/>
      <c r="AY237" s="5"/>
      <c r="AZ237" s="28">
        <f t="shared" si="112"/>
        <v>44494</v>
      </c>
      <c r="BA237" s="3">
        <f t="shared" si="113"/>
        <v>232</v>
      </c>
      <c r="BB237" s="3">
        <f t="shared" si="92"/>
        <v>1.4886318815510757</v>
      </c>
      <c r="BC237" s="3">
        <f t="shared" si="93"/>
        <v>1.4346248458265494</v>
      </c>
      <c r="BD237" s="3">
        <f t="shared" si="94"/>
        <v>1.6404262036470221</v>
      </c>
      <c r="BE237" s="3">
        <f t="shared" si="95"/>
        <v>1.1068261965544559</v>
      </c>
      <c r="BG237" s="3">
        <f t="shared" si="96"/>
        <v>8.660607250350727E-3</v>
      </c>
      <c r="BH237" s="3">
        <f t="shared" si="109"/>
        <v>7.1513885034970581E-3</v>
      </c>
      <c r="BI237" s="3">
        <f t="shared" si="110"/>
        <v>1.8936026317666721E-2</v>
      </c>
      <c r="BJ237" s="3">
        <f t="shared" si="111"/>
        <v>3.1723566584190857E-2</v>
      </c>
    </row>
    <row r="238" spans="1:62" x14ac:dyDescent="0.3">
      <c r="A238" s="27">
        <v>44497</v>
      </c>
      <c r="B238" s="3">
        <v>323.75769042968699</v>
      </c>
      <c r="C238" s="3">
        <v>152.34765625</v>
      </c>
      <c r="D238" s="3">
        <v>3446.57006835937</v>
      </c>
      <c r="E238" s="3">
        <v>2916.97998046875</v>
      </c>
      <c r="F238" s="3">
        <v>1077.0400390625</v>
      </c>
      <c r="G238" s="3">
        <v>2922.580078125</v>
      </c>
      <c r="H238" s="3">
        <v>316.92001342773398</v>
      </c>
      <c r="I238" s="3">
        <v>249.379470825195</v>
      </c>
      <c r="J238" s="3">
        <v>289.72000122070301</v>
      </c>
      <c r="K238" s="3">
        <v>170.36000061035099</v>
      </c>
      <c r="L238" s="3">
        <v>4596.419921875</v>
      </c>
      <c r="N238" s="3">
        <f t="shared" si="91"/>
        <v>2.216652498882965E-2</v>
      </c>
      <c r="O238" s="3">
        <f t="shared" si="99"/>
        <v>-1.8322419179667371E-2</v>
      </c>
      <c r="P238" s="3">
        <f t="shared" si="100"/>
        <v>-2.174602093257505E-2</v>
      </c>
      <c r="Q238" s="3">
        <f t="shared" si="101"/>
        <v>1.4951176662628463E-2</v>
      </c>
      <c r="R238" s="3">
        <f t="shared" si="102"/>
        <v>3.3740567547867251E-2</v>
      </c>
      <c r="S238" s="3">
        <f t="shared" si="103"/>
        <v>1.4548458639107587E-2</v>
      </c>
      <c r="T238" s="3">
        <f t="shared" si="104"/>
        <v>2.0766078010174382E-2</v>
      </c>
      <c r="U238" s="3">
        <f t="shared" si="105"/>
        <v>2.4789413247694014E-2</v>
      </c>
      <c r="V238" s="3">
        <f t="shared" si="106"/>
        <v>-9.3978511569465795E-3</v>
      </c>
      <c r="W238" s="3">
        <f t="shared" si="107"/>
        <v>-2.7626834365328534E-3</v>
      </c>
      <c r="X238" s="3">
        <f t="shared" si="108"/>
        <v>1.9474372317169752E-3</v>
      </c>
      <c r="AK238" s="3"/>
      <c r="AL238" s="8"/>
      <c r="AW238" s="3"/>
      <c r="AY238" s="5"/>
      <c r="AZ238" s="28">
        <f t="shared" si="112"/>
        <v>44495</v>
      </c>
      <c r="BA238" s="3">
        <f t="shared" si="113"/>
        <v>233</v>
      </c>
      <c r="BB238" s="3">
        <f t="shared" si="92"/>
        <v>1.5015803273851893</v>
      </c>
      <c r="BC238" s="3">
        <f t="shared" si="93"/>
        <v>1.4449211781104647</v>
      </c>
      <c r="BD238" s="3">
        <f t="shared" si="94"/>
        <v>1.6717853289835281</v>
      </c>
      <c r="BE238" s="3">
        <f t="shared" si="95"/>
        <v>1.1425015540092192</v>
      </c>
      <c r="BG238" s="3">
        <f t="shared" si="96"/>
        <v>1.2011380198377608E-2</v>
      </c>
      <c r="BH238" s="3">
        <f t="shared" si="109"/>
        <v>1.2302898764184445E-2</v>
      </c>
      <c r="BI238" s="3">
        <f t="shared" si="110"/>
        <v>-8.192900336816078E-3</v>
      </c>
      <c r="BJ238" s="3">
        <f t="shared" si="111"/>
        <v>-2.7655935749047594E-2</v>
      </c>
    </row>
    <row r="239" spans="1:62" x14ac:dyDescent="0.3">
      <c r="A239" s="27">
        <v>44498</v>
      </c>
      <c r="B239" s="3">
        <v>331.014404296875</v>
      </c>
      <c r="C239" s="3">
        <v>149.58169555664</v>
      </c>
      <c r="D239" s="3">
        <v>3372.42993164062</v>
      </c>
      <c r="E239" s="3">
        <v>2960.919921875</v>
      </c>
      <c r="F239" s="3">
        <v>1114</v>
      </c>
      <c r="G239" s="3">
        <v>2965.40991210937</v>
      </c>
      <c r="H239" s="3">
        <v>323.57000732421801</v>
      </c>
      <c r="I239" s="3">
        <v>255.63870239257801</v>
      </c>
      <c r="J239" s="3">
        <v>287.010009765625</v>
      </c>
      <c r="K239" s="3">
        <v>169.88999938964801</v>
      </c>
      <c r="L239" s="3">
        <v>4605.3798828125</v>
      </c>
      <c r="N239" s="3">
        <f t="shared" si="91"/>
        <v>-6.8079627539647802E-3</v>
      </c>
      <c r="O239" s="3">
        <f t="shared" si="99"/>
        <v>-5.6232560203763882E-3</v>
      </c>
      <c r="P239" s="3">
        <f t="shared" si="100"/>
        <v>-1.6238156404012827E-2</v>
      </c>
      <c r="Q239" s="3">
        <f t="shared" si="101"/>
        <v>-3.1208901256440491E-2</v>
      </c>
      <c r="R239" s="3">
        <f t="shared" si="102"/>
        <v>8.1497221089290584E-2</v>
      </c>
      <c r="S239" s="3">
        <f t="shared" si="103"/>
        <v>-3.0795663140816387E-2</v>
      </c>
      <c r="T239" s="3">
        <f t="shared" si="104"/>
        <v>1.961658338052974E-2</v>
      </c>
      <c r="U239" s="3">
        <f t="shared" si="105"/>
        <v>1.0117955104879783E-2</v>
      </c>
      <c r="V239" s="3">
        <f t="shared" si="106"/>
        <v>-2.6865067400718701E-3</v>
      </c>
      <c r="W239" s="3">
        <f t="shared" si="107"/>
        <v>-5.2987335129017765E-4</v>
      </c>
      <c r="X239" s="3">
        <f t="shared" si="108"/>
        <v>1.7984589459025813E-3</v>
      </c>
      <c r="AK239" s="3"/>
      <c r="AL239" s="8"/>
      <c r="AW239" s="3"/>
      <c r="AY239" s="5"/>
      <c r="AZ239" s="28">
        <f t="shared" si="112"/>
        <v>44496</v>
      </c>
      <c r="BA239" s="3">
        <f t="shared" si="113"/>
        <v>234</v>
      </c>
      <c r="BB239" s="3">
        <f t="shared" si="92"/>
        <v>1.5197251335280932</v>
      </c>
      <c r="BC239" s="3">
        <f t="shared" si="93"/>
        <v>1.4628076995079302</v>
      </c>
      <c r="BD239" s="3">
        <f t="shared" si="94"/>
        <v>1.6581445136206574</v>
      </c>
      <c r="BE239" s="3">
        <f t="shared" si="95"/>
        <v>1.1113375259116787</v>
      </c>
      <c r="BG239" s="3">
        <f t="shared" si="96"/>
        <v>1.3943418596385593E-2</v>
      </c>
      <c r="BH239" s="3">
        <f t="shared" si="109"/>
        <v>1.0941106283721524E-2</v>
      </c>
      <c r="BI239" s="3">
        <f t="shared" si="110"/>
        <v>1.9006054809448947E-2</v>
      </c>
      <c r="BJ239" s="3">
        <f t="shared" si="111"/>
        <v>2.4762750811218787E-2</v>
      </c>
    </row>
    <row r="240" spans="1:62" x14ac:dyDescent="0.3">
      <c r="A240" s="27">
        <v>44501</v>
      </c>
      <c r="B240" s="3">
        <v>328.76852416992102</v>
      </c>
      <c r="C240" s="3">
        <v>148.742919921875</v>
      </c>
      <c r="D240" s="3">
        <v>3318.11010742187</v>
      </c>
      <c r="E240" s="3">
        <v>2869.93994140625</v>
      </c>
      <c r="F240" s="3">
        <v>1208.58996582031</v>
      </c>
      <c r="G240" s="3">
        <v>2875.47998046875</v>
      </c>
      <c r="H240" s="3">
        <v>329.98001098632801</v>
      </c>
      <c r="I240" s="3">
        <v>258.23837280273398</v>
      </c>
      <c r="J240" s="3">
        <v>286.239990234375</v>
      </c>
      <c r="K240" s="3">
        <v>169.80000305175699</v>
      </c>
      <c r="L240" s="3">
        <v>4613.669921875</v>
      </c>
      <c r="N240" s="3">
        <f t="shared" si="91"/>
        <v>1.135109413807367E-2</v>
      </c>
      <c r="O240" s="3">
        <f t="shared" si="99"/>
        <v>7.0908127807962629E-3</v>
      </c>
      <c r="P240" s="3">
        <f t="shared" si="100"/>
        <v>-1.6167159320339408E-3</v>
      </c>
      <c r="Q240" s="3">
        <f t="shared" si="101"/>
        <v>1.3397919226889599E-2</v>
      </c>
      <c r="R240" s="3">
        <f t="shared" si="102"/>
        <v>-3.0742671439562663E-2</v>
      </c>
      <c r="S240" s="3">
        <f t="shared" si="103"/>
        <v>1.4425212888567351E-2</v>
      </c>
      <c r="T240" s="3">
        <f t="shared" si="104"/>
        <v>-5.7746397016495976E-3</v>
      </c>
      <c r="U240" s="3">
        <f t="shared" si="105"/>
        <v>2.198151429452011E-2</v>
      </c>
      <c r="V240" s="3">
        <f t="shared" si="106"/>
        <v>5.8867839566074665E-3</v>
      </c>
      <c r="W240" s="3">
        <f t="shared" si="107"/>
        <v>3.9380434737390502E-3</v>
      </c>
      <c r="X240" s="3">
        <f t="shared" si="108"/>
        <v>3.6736071203886667E-3</v>
      </c>
      <c r="AK240" s="3"/>
      <c r="AL240" s="8"/>
      <c r="AW240" s="3"/>
      <c r="AY240" s="5"/>
      <c r="AZ240" s="28">
        <f t="shared" si="112"/>
        <v>44497</v>
      </c>
      <c r="BA240" s="3">
        <f t="shared" si="113"/>
        <v>235</v>
      </c>
      <c r="BB240" s="3">
        <f t="shared" si="92"/>
        <v>1.5410637179058457</v>
      </c>
      <c r="BC240" s="3">
        <f t="shared" si="93"/>
        <v>1.4789003089621751</v>
      </c>
      <c r="BD240" s="3">
        <f t="shared" si="94"/>
        <v>1.6899606913967968</v>
      </c>
      <c r="BE240" s="3">
        <f t="shared" si="95"/>
        <v>1.1392008627791639</v>
      </c>
      <c r="BG240" s="3">
        <f t="shared" si="96"/>
        <v>1.09013285726271E-2</v>
      </c>
      <c r="BH240" s="3">
        <f t="shared" si="109"/>
        <v>7.1837043084772012E-3</v>
      </c>
      <c r="BI240" s="3">
        <f t="shared" si="110"/>
        <v>4.052739899472857E-3</v>
      </c>
      <c r="BJ240" s="3">
        <f t="shared" si="111"/>
        <v>-2.1318022443966578E-3</v>
      </c>
    </row>
    <row r="241" spans="1:62" x14ac:dyDescent="0.3">
      <c r="A241" s="27">
        <v>44502</v>
      </c>
      <c r="B241" s="3">
        <v>332.52166748046801</v>
      </c>
      <c r="C241" s="3">
        <v>149.80137634277301</v>
      </c>
      <c r="D241" s="3">
        <v>3312.75</v>
      </c>
      <c r="E241" s="3">
        <v>2908.64990234375</v>
      </c>
      <c r="F241" s="3">
        <v>1172</v>
      </c>
      <c r="G241" s="3">
        <v>2917.26000976562</v>
      </c>
      <c r="H241" s="3">
        <v>328.079986572265</v>
      </c>
      <c r="I241" s="3">
        <v>263.97769165039</v>
      </c>
      <c r="J241" s="3">
        <v>287.92999267578102</v>
      </c>
      <c r="K241" s="3">
        <v>170.47000122070301</v>
      </c>
      <c r="L241" s="3">
        <v>4630.64990234375</v>
      </c>
      <c r="N241" s="3">
        <f t="shared" si="91"/>
        <v>2.6080880131393869E-3</v>
      </c>
      <c r="O241" s="3">
        <f t="shared" si="99"/>
        <v>9.7510453347053883E-3</v>
      </c>
      <c r="P241" s="3">
        <f t="shared" si="100"/>
        <v>2.127978158136834E-2</v>
      </c>
      <c r="Q241" s="3">
        <f t="shared" si="101"/>
        <v>7.982105603368872E-3</v>
      </c>
      <c r="R241" s="3">
        <f t="shared" si="102"/>
        <v>3.5093661512767937E-2</v>
      </c>
      <c r="S241" s="3">
        <f t="shared" si="103"/>
        <v>6.3351822413721948E-3</v>
      </c>
      <c r="T241" s="3">
        <f t="shared" si="104"/>
        <v>1.0732280193535892E-2</v>
      </c>
      <c r="U241" s="3">
        <f t="shared" si="105"/>
        <v>7.4341298486695351E-3</v>
      </c>
      <c r="V241" s="3">
        <f t="shared" si="106"/>
        <v>2.7399949624120623E-3</v>
      </c>
      <c r="W241" s="3">
        <f t="shared" si="107"/>
        <v>3.5189184288686448E-4</v>
      </c>
      <c r="X241" s="3">
        <f t="shared" si="108"/>
        <v>6.4404946128888696E-3</v>
      </c>
      <c r="AK241" s="3"/>
      <c r="AL241" s="8"/>
      <c r="AW241" s="3"/>
      <c r="AY241" s="5"/>
      <c r="AZ241" s="28">
        <f t="shared" si="112"/>
        <v>44498</v>
      </c>
      <c r="BA241" s="3">
        <f t="shared" si="113"/>
        <v>236</v>
      </c>
      <c r="BB241" s="3">
        <f t="shared" si="92"/>
        <v>1.5579552627052606</v>
      </c>
      <c r="BC241" s="3">
        <f t="shared" si="93"/>
        <v>1.4895625427985004</v>
      </c>
      <c r="BD241" s="3">
        <f t="shared" si="94"/>
        <v>1.6968235598363588</v>
      </c>
      <c r="BE241" s="3">
        <f t="shared" si="95"/>
        <v>1.1367748985797843</v>
      </c>
      <c r="BG241" s="3">
        <f t="shared" si="96"/>
        <v>5.9613935613251345E-3</v>
      </c>
      <c r="BH241" s="3">
        <f t="shared" si="109"/>
        <v>-2.3260251070794102E-3</v>
      </c>
      <c r="BI241" s="3">
        <f t="shared" si="110"/>
        <v>1.1774539595863054E-2</v>
      </c>
      <c r="BJ241" s="3">
        <f t="shared" si="111"/>
        <v>1.7743528600603131E-2</v>
      </c>
    </row>
    <row r="242" spans="1:62" x14ac:dyDescent="0.3">
      <c r="A242" s="27">
        <v>44503</v>
      </c>
      <c r="B242" s="3">
        <v>333.390045166015</v>
      </c>
      <c r="C242" s="3">
        <v>151.26924133300699</v>
      </c>
      <c r="D242" s="3">
        <v>3384</v>
      </c>
      <c r="E242" s="3">
        <v>2931.9599609375</v>
      </c>
      <c r="F242" s="3">
        <v>1213.85998535156</v>
      </c>
      <c r="G242" s="3">
        <v>2935.80004882812</v>
      </c>
      <c r="H242" s="3">
        <v>331.61999511718699</v>
      </c>
      <c r="I242" s="3">
        <v>265.94744873046801</v>
      </c>
      <c r="J242" s="3">
        <v>288.72000122070301</v>
      </c>
      <c r="K242" s="3">
        <v>170.52999877929599</v>
      </c>
      <c r="L242" s="3">
        <v>4660.56982421875</v>
      </c>
      <c r="N242" s="3">
        <f t="shared" si="91"/>
        <v>7.2788425518846012E-3</v>
      </c>
      <c r="O242" s="3">
        <f t="shared" si="99"/>
        <v>-3.5047693879555197E-3</v>
      </c>
      <c r="P242" s="3">
        <f t="shared" si="100"/>
        <v>2.7111411281747877E-2</v>
      </c>
      <c r="Q242" s="3">
        <f t="shared" si="101"/>
        <v>1.132397421682807E-2</v>
      </c>
      <c r="R242" s="3">
        <f t="shared" si="102"/>
        <v>1.3135671098312152E-2</v>
      </c>
      <c r="S242" s="3">
        <f t="shared" si="103"/>
        <v>1.2813482630550155E-2</v>
      </c>
      <c r="T242" s="3">
        <f t="shared" si="104"/>
        <v>1.2674929537104695E-2</v>
      </c>
      <c r="U242" s="3">
        <f t="shared" si="105"/>
        <v>0.11370586432728658</v>
      </c>
      <c r="V242" s="3">
        <f t="shared" si="106"/>
        <v>-3.5738445517816686E-3</v>
      </c>
      <c r="W242" s="3">
        <f t="shared" si="107"/>
        <v>-1.3222585336182036E-2</v>
      </c>
      <c r="X242" s="3">
        <f t="shared" si="108"/>
        <v>4.1732223428176951E-3</v>
      </c>
      <c r="AK242" s="3"/>
      <c r="AL242" s="8"/>
      <c r="AW242" s="3"/>
      <c r="AY242" s="5"/>
      <c r="AZ242" s="28">
        <f t="shared" si="112"/>
        <v>44501</v>
      </c>
      <c r="BA242" s="3">
        <f t="shared" si="113"/>
        <v>237</v>
      </c>
      <c r="BB242" s="3">
        <f t="shared" si="92"/>
        <v>1.5672705857430957</v>
      </c>
      <c r="BC242" s="3">
        <f t="shared" si="93"/>
        <v>1.4861018093621441</v>
      </c>
      <c r="BD242" s="3">
        <f t="shared" si="94"/>
        <v>1.716920962670474</v>
      </c>
      <c r="BE242" s="3">
        <f t="shared" si="95"/>
        <v>1.1571253066168294</v>
      </c>
      <c r="BG242" s="3">
        <f t="shared" si="96"/>
        <v>3.0055142110447797E-3</v>
      </c>
      <c r="BH242" s="3">
        <f t="shared" si="109"/>
        <v>5.6187958889293843E-3</v>
      </c>
      <c r="BI242" s="3">
        <f t="shared" si="110"/>
        <v>4.7772624692029586E-3</v>
      </c>
      <c r="BJ242" s="3">
        <f t="shared" si="111"/>
        <v>7.2201182058798663E-3</v>
      </c>
    </row>
    <row r="243" spans="1:62" x14ac:dyDescent="0.3">
      <c r="A243" s="27">
        <v>44504</v>
      </c>
      <c r="B243" s="3">
        <v>335.825592041015</v>
      </c>
      <c r="C243" s="3">
        <v>150.74000549316401</v>
      </c>
      <c r="D243" s="3">
        <v>3477</v>
      </c>
      <c r="E243" s="3">
        <v>2965.35009765625</v>
      </c>
      <c r="F243" s="3">
        <v>1229.91003417968</v>
      </c>
      <c r="G243" s="3">
        <v>2973.65991210937</v>
      </c>
      <c r="H243" s="3">
        <v>335.850006103515</v>
      </c>
      <c r="I243" s="3">
        <v>297.97351074218699</v>
      </c>
      <c r="J243" s="3">
        <v>287.69000244140602</v>
      </c>
      <c r="K243" s="3">
        <v>168.28999328613199</v>
      </c>
      <c r="L243" s="3">
        <v>4680.06005859375</v>
      </c>
      <c r="N243" s="3">
        <f t="shared" si="91"/>
        <v>-1.1301025100589612E-3</v>
      </c>
      <c r="O243" s="3">
        <f t="shared" si="99"/>
        <v>3.5758814243926906E-3</v>
      </c>
      <c r="P243" s="3">
        <f t="shared" si="100"/>
        <v>1.2004160818166909E-2</v>
      </c>
      <c r="Q243" s="3">
        <f t="shared" si="101"/>
        <v>3.9344291495693184E-3</v>
      </c>
      <c r="R243" s="3">
        <f t="shared" si="102"/>
        <v>-6.3785439422332502E-3</v>
      </c>
      <c r="S243" s="3">
        <f t="shared" si="103"/>
        <v>3.7459786176512466E-3</v>
      </c>
      <c r="T243" s="3">
        <f t="shared" si="104"/>
        <v>1.5599000732170687E-2</v>
      </c>
      <c r="U243" s="3">
        <f t="shared" si="105"/>
        <v>-1.6456596414125002E-3</v>
      </c>
      <c r="V243" s="3">
        <f t="shared" si="106"/>
        <v>6.6022359014539234E-4</v>
      </c>
      <c r="W243" s="3">
        <f t="shared" si="107"/>
        <v>-1.4270694994165112E-3</v>
      </c>
      <c r="X243" s="3">
        <f t="shared" si="108"/>
        <v>3.7258500452850285E-3</v>
      </c>
      <c r="AK243" s="3"/>
      <c r="AL243" s="8"/>
      <c r="AW243" s="3"/>
      <c r="AY243" s="5"/>
      <c r="AZ243" s="28">
        <f t="shared" si="112"/>
        <v>44502</v>
      </c>
      <c r="BA243" s="3">
        <f t="shared" si="113"/>
        <v>238</v>
      </c>
      <c r="BB243" s="3">
        <f t="shared" si="92"/>
        <v>1.5719881255263559</v>
      </c>
      <c r="BC243" s="3">
        <f t="shared" si="93"/>
        <v>1.4944754148590353</v>
      </c>
      <c r="BD243" s="3">
        <f t="shared" si="94"/>
        <v>1.7251427679723166</v>
      </c>
      <c r="BE243" s="3">
        <f t="shared" si="95"/>
        <v>1.165510121361337</v>
      </c>
      <c r="BG243" s="3">
        <f t="shared" si="96"/>
        <v>1.1480404607600192E-2</v>
      </c>
      <c r="BH243" s="3">
        <f t="shared" si="109"/>
        <v>8.735982014286936E-3</v>
      </c>
      <c r="BI243" s="3">
        <f t="shared" si="110"/>
        <v>9.3601596294434763E-3</v>
      </c>
      <c r="BJ243" s="3">
        <f t="shared" si="111"/>
        <v>7.8907040322250266E-3</v>
      </c>
    </row>
    <row r="244" spans="1:62" x14ac:dyDescent="0.3">
      <c r="A244" s="27">
        <v>44505</v>
      </c>
      <c r="B244" s="3">
        <v>335.4462890625</v>
      </c>
      <c r="C244" s="3">
        <v>151.27999877929599</v>
      </c>
      <c r="D244" s="3">
        <v>3518.98999023437</v>
      </c>
      <c r="E244" s="3">
        <v>2977.0400390625</v>
      </c>
      <c r="F244" s="3">
        <v>1222.08996582031</v>
      </c>
      <c r="G244" s="3">
        <v>2984.82006835937</v>
      </c>
      <c r="H244" s="3">
        <v>341.13000488281199</v>
      </c>
      <c r="I244" s="3">
        <v>297.48355102539</v>
      </c>
      <c r="J244" s="3">
        <v>287.88000488281199</v>
      </c>
      <c r="K244" s="3">
        <v>168.05000305175699</v>
      </c>
      <c r="L244" s="3">
        <v>4697.52978515625</v>
      </c>
      <c r="N244" s="3">
        <f t="shared" si="91"/>
        <v>2.7635782405690534E-3</v>
      </c>
      <c r="O244" s="3">
        <f t="shared" si="99"/>
        <v>-5.5680664504595967E-3</v>
      </c>
      <c r="P244" s="3">
        <f t="shared" si="100"/>
        <v>-8.5645895551866857E-3</v>
      </c>
      <c r="Q244" s="3">
        <f t="shared" si="101"/>
        <v>1.2018404749634115E-3</v>
      </c>
      <c r="R244" s="3">
        <f t="shared" si="102"/>
        <v>-4.9611248715814682E-2</v>
      </c>
      <c r="S244" s="3">
        <f t="shared" si="103"/>
        <v>7.4012609233164994E-4</v>
      </c>
      <c r="T244" s="3">
        <f t="shared" si="104"/>
        <v>-7.3851303380365607E-3</v>
      </c>
      <c r="U244" s="3">
        <f t="shared" si="105"/>
        <v>3.4748281388259805E-2</v>
      </c>
      <c r="V244" s="3">
        <f t="shared" si="106"/>
        <v>3.1906211496748327E-3</v>
      </c>
      <c r="W244" s="3">
        <f t="shared" si="107"/>
        <v>5.9920947287830373E-3</v>
      </c>
      <c r="X244" s="3">
        <f t="shared" si="108"/>
        <v>8.873940607010411E-4</v>
      </c>
      <c r="AK244" s="3"/>
      <c r="AL244" s="8"/>
      <c r="AW244" s="3"/>
      <c r="AY244" s="5"/>
      <c r="AZ244" s="28">
        <f t="shared" si="112"/>
        <v>44503</v>
      </c>
      <c r="BA244" s="3">
        <f t="shared" si="113"/>
        <v>239</v>
      </c>
      <c r="BB244" s="3">
        <f t="shared" si="92"/>
        <v>1.5901391765927519</v>
      </c>
      <c r="BC244" s="3">
        <f t="shared" si="93"/>
        <v>1.5075883188556705</v>
      </c>
      <c r="BD244" s="3">
        <f t="shared" si="94"/>
        <v>1.7413661881174516</v>
      </c>
      <c r="BE244" s="3">
        <f t="shared" si="95"/>
        <v>1.174743196600881</v>
      </c>
      <c r="BG244" s="3">
        <f t="shared" si="96"/>
        <v>2.1585851098488762E-2</v>
      </c>
      <c r="BH244" s="3">
        <f t="shared" si="109"/>
        <v>1.515512742795827E-2</v>
      </c>
      <c r="BI244" s="3">
        <f t="shared" si="110"/>
        <v>3.1300614150333694E-2</v>
      </c>
      <c r="BJ244" s="3">
        <f t="shared" si="111"/>
        <v>4.7090078594167362E-2</v>
      </c>
    </row>
    <row r="245" spans="1:62" x14ac:dyDescent="0.3">
      <c r="A245" s="27">
        <v>44508</v>
      </c>
      <c r="B245" s="3">
        <v>336.37460327148398</v>
      </c>
      <c r="C245" s="3">
        <v>150.44000244140599</v>
      </c>
      <c r="D245" s="3">
        <v>3488.97998046875</v>
      </c>
      <c r="E245" s="3">
        <v>2980.6201171875</v>
      </c>
      <c r="F245" s="3">
        <v>1162.93994140625</v>
      </c>
      <c r="G245" s="3">
        <v>2987.03002929687</v>
      </c>
      <c r="H245" s="3">
        <v>338.61999511718699</v>
      </c>
      <c r="I245" s="3">
        <v>308.00228881835898</v>
      </c>
      <c r="J245" s="3">
        <v>288.79998779296801</v>
      </c>
      <c r="K245" s="3">
        <v>169.05999755859301</v>
      </c>
      <c r="L245" s="3">
        <v>4701.7001953125</v>
      </c>
      <c r="N245" s="3">
        <f t="shared" si="91"/>
        <v>-3.0908726448055646E-3</v>
      </c>
      <c r="O245" s="3">
        <f t="shared" si="99"/>
        <v>2.4564003533935619E-3</v>
      </c>
      <c r="P245" s="3">
        <f t="shared" si="100"/>
        <v>2.4699743166239685E-2</v>
      </c>
      <c r="Q245" s="3">
        <f t="shared" si="101"/>
        <v>-7.5516153523658147E-4</v>
      </c>
      <c r="R245" s="3">
        <f t="shared" si="102"/>
        <v>-0.12772310498864581</v>
      </c>
      <c r="S245" s="3">
        <f t="shared" si="103"/>
        <v>-6.8990578548699943E-4</v>
      </c>
      <c r="T245" s="3">
        <f t="shared" si="104"/>
        <v>-9.6441348894806822E-3</v>
      </c>
      <c r="U245" s="3">
        <f t="shared" si="105"/>
        <v>-4.78352410557914E-3</v>
      </c>
      <c r="V245" s="3">
        <f t="shared" si="106"/>
        <v>-8.5195045958110782E-3</v>
      </c>
      <c r="W245" s="3">
        <f t="shared" si="107"/>
        <v>-7.6000769171873372E-3</v>
      </c>
      <c r="X245" s="3">
        <f t="shared" si="108"/>
        <v>-3.5049109263987077E-3</v>
      </c>
      <c r="AK245" s="3"/>
      <c r="AL245" s="8"/>
      <c r="AW245" s="3"/>
      <c r="AY245" s="5"/>
      <c r="AZ245" s="28">
        <f t="shared" si="112"/>
        <v>44504</v>
      </c>
      <c r="BA245" s="3">
        <f t="shared" si="113"/>
        <v>240</v>
      </c>
      <c r="BB245" s="3">
        <f t="shared" si="92"/>
        <v>1.624836825963587</v>
      </c>
      <c r="BC245" s="3">
        <f t="shared" si="93"/>
        <v>1.5306100197122599</v>
      </c>
      <c r="BD245" s="3">
        <f t="shared" si="94"/>
        <v>1.7967340224965564</v>
      </c>
      <c r="BE245" s="3">
        <f t="shared" si="95"/>
        <v>1.2313851158184101</v>
      </c>
      <c r="BG245" s="3">
        <f t="shared" si="96"/>
        <v>1.7245457747339654E-3</v>
      </c>
      <c r="BH245" s="3">
        <f t="shared" si="109"/>
        <v>2.3635601316021604E-3</v>
      </c>
      <c r="BI245" s="3">
        <f t="shared" si="110"/>
        <v>-6.0024826692950395E-4</v>
      </c>
      <c r="BJ245" s="3">
        <f t="shared" si="111"/>
        <v>-2.478454797536167E-3</v>
      </c>
    </row>
    <row r="246" spans="1:62" x14ac:dyDescent="0.3">
      <c r="A246" s="27">
        <v>44509</v>
      </c>
      <c r="B246" s="3">
        <v>335.33651733398398</v>
      </c>
      <c r="C246" s="3">
        <v>150.80999755859301</v>
      </c>
      <c r="D246" s="3">
        <v>3576.22998046875</v>
      </c>
      <c r="E246" s="3">
        <v>2978.3701171875</v>
      </c>
      <c r="F246" s="3">
        <v>1023.5</v>
      </c>
      <c r="G246" s="3">
        <v>2984.96997070312</v>
      </c>
      <c r="H246" s="3">
        <v>335.36999511718699</v>
      </c>
      <c r="I246" s="3">
        <v>306.532470703125</v>
      </c>
      <c r="J246" s="3">
        <v>286.350006103515</v>
      </c>
      <c r="K246" s="3">
        <v>167.77999877929599</v>
      </c>
      <c r="L246" s="3">
        <v>4685.25</v>
      </c>
      <c r="N246" s="3">
        <f t="shared" si="91"/>
        <v>-1.5448465503030029E-2</v>
      </c>
      <c r="O246" s="3">
        <f t="shared" si="99"/>
        <v>-1.9349175483780456E-2</v>
      </c>
      <c r="P246" s="3">
        <f t="shared" si="100"/>
        <v>-2.6687952625767508E-2</v>
      </c>
      <c r="Q246" s="3">
        <f t="shared" si="101"/>
        <v>-2.05222721418723E-2</v>
      </c>
      <c r="R246" s="3">
        <f t="shared" si="102"/>
        <v>4.2512751122105286E-2</v>
      </c>
      <c r="S246" s="3">
        <f t="shared" si="103"/>
        <v>-1.772755842618956E-2</v>
      </c>
      <c r="T246" s="3">
        <f t="shared" si="104"/>
        <v>-2.331889603452364E-2</v>
      </c>
      <c r="U246" s="3">
        <f t="shared" si="105"/>
        <v>-3.9861598270193532E-2</v>
      </c>
      <c r="V246" s="3">
        <f t="shared" si="106"/>
        <v>-3.6034770747175315E-3</v>
      </c>
      <c r="W246" s="3">
        <f t="shared" si="107"/>
        <v>-9.541066020188893E-4</v>
      </c>
      <c r="X246" s="3">
        <f t="shared" si="108"/>
        <v>-8.2598421638611086E-3</v>
      </c>
      <c r="AK246" s="3"/>
      <c r="AL246" s="8"/>
      <c r="AW246" s="3"/>
      <c r="AY246" s="5"/>
      <c r="AZ246" s="28">
        <f t="shared" si="112"/>
        <v>44505</v>
      </c>
      <c r="BA246" s="3">
        <f t="shared" si="113"/>
        <v>241</v>
      </c>
      <c r="BB246" s="3">
        <f t="shared" si="92"/>
        <v>1.6276413490155566</v>
      </c>
      <c r="BC246" s="3">
        <f t="shared" si="93"/>
        <v>1.5342319872147245</v>
      </c>
      <c r="BD246" s="3">
        <f t="shared" si="94"/>
        <v>1.7956558596284877</v>
      </c>
      <c r="BE246" s="3">
        <f t="shared" si="95"/>
        <v>1.2283369623860783</v>
      </c>
      <c r="BG246" s="3">
        <f t="shared" si="96"/>
        <v>-2.8097522633538374E-3</v>
      </c>
      <c r="BH246" s="3">
        <f t="shared" si="109"/>
        <v>-2.9999908195887937E-4</v>
      </c>
      <c r="BI246" s="3">
        <f t="shared" si="110"/>
        <v>5.1294185702741579E-3</v>
      </c>
      <c r="BJ246" s="3">
        <f t="shared" si="111"/>
        <v>1.4052489025211029E-2</v>
      </c>
    </row>
    <row r="247" spans="1:62" x14ac:dyDescent="0.3">
      <c r="A247" s="27">
        <v>44510</v>
      </c>
      <c r="B247" s="3">
        <v>330.19589233398398</v>
      </c>
      <c r="C247" s="3">
        <v>147.919998168945</v>
      </c>
      <c r="D247" s="3">
        <v>3482.05004882812</v>
      </c>
      <c r="E247" s="3">
        <v>2917.8701171875</v>
      </c>
      <c r="F247" s="3">
        <v>1067.94995117187</v>
      </c>
      <c r="G247" s="3">
        <v>2932.52001953125</v>
      </c>
      <c r="H247" s="3">
        <v>327.64001464843699</v>
      </c>
      <c r="I247" s="3">
        <v>294.55392456054602</v>
      </c>
      <c r="J247" s="3">
        <v>285.32000732421801</v>
      </c>
      <c r="K247" s="3">
        <v>167.61999511718699</v>
      </c>
      <c r="L247" s="3">
        <v>4646.7099609375</v>
      </c>
      <c r="N247" s="3">
        <f t="shared" si="91"/>
        <v>4.9153209510306439E-3</v>
      </c>
      <c r="O247" s="3">
        <f t="shared" si="99"/>
        <v>-3.3809833577436166E-4</v>
      </c>
      <c r="P247" s="3">
        <f t="shared" si="100"/>
        <v>-2.7464191828148188E-3</v>
      </c>
      <c r="Q247" s="3">
        <f t="shared" si="101"/>
        <v>-8.7089046766575251E-4</v>
      </c>
      <c r="R247" s="3">
        <f t="shared" si="102"/>
        <v>-4.1661095300176143E-3</v>
      </c>
      <c r="S247" s="3">
        <f t="shared" si="103"/>
        <v>8.3168295589075569E-4</v>
      </c>
      <c r="T247" s="3">
        <f t="shared" si="104"/>
        <v>3.0509196487127355E-4</v>
      </c>
      <c r="U247" s="3">
        <f t="shared" si="105"/>
        <v>3.1114168804940334E-2</v>
      </c>
      <c r="V247" s="3">
        <f t="shared" si="106"/>
        <v>-2.3510491251128585E-3</v>
      </c>
      <c r="W247" s="3">
        <f t="shared" si="107"/>
        <v>-5.9627759844360639E-5</v>
      </c>
      <c r="X247" s="3">
        <f t="shared" si="108"/>
        <v>5.5078833298871643E-4</v>
      </c>
      <c r="AK247" s="3"/>
      <c r="AL247" s="8"/>
      <c r="AW247" s="3"/>
      <c r="AY247" s="5"/>
      <c r="AZ247" s="28">
        <f t="shared" si="112"/>
        <v>44508</v>
      </c>
      <c r="BA247" s="3">
        <f t="shared" si="113"/>
        <v>242</v>
      </c>
      <c r="BB247" s="3">
        <f t="shared" si="92"/>
        <v>1.623074498914431</v>
      </c>
      <c r="BC247" s="3">
        <f t="shared" si="93"/>
        <v>1.5337717880601616</v>
      </c>
      <c r="BD247" s="3">
        <f t="shared" si="94"/>
        <v>1.8048901932749457</v>
      </c>
      <c r="BE247" s="3">
        <f t="shared" si="95"/>
        <v>1.2457200055256765</v>
      </c>
      <c r="BG247" s="3">
        <f t="shared" si="96"/>
        <v>-1.9062462127194091E-2</v>
      </c>
      <c r="BH247" s="3">
        <f t="shared" si="109"/>
        <v>-9.9340696932292416E-3</v>
      </c>
      <c r="BI247" s="3">
        <f t="shared" si="110"/>
        <v>-1.6409949192093265E-2</v>
      </c>
      <c r="BJ247" s="3">
        <f t="shared" si="111"/>
        <v>-1.1981254074099973E-2</v>
      </c>
    </row>
    <row r="248" spans="1:62" x14ac:dyDescent="0.3">
      <c r="A248" s="27">
        <v>44511</v>
      </c>
      <c r="B248" s="3">
        <v>331.82290649414</v>
      </c>
      <c r="C248" s="3">
        <v>147.86999511718699</v>
      </c>
      <c r="D248" s="3">
        <v>3472.5</v>
      </c>
      <c r="E248" s="3">
        <v>2915.330078125</v>
      </c>
      <c r="F248" s="3">
        <v>1063.51000976562</v>
      </c>
      <c r="G248" s="3">
        <v>2934.9599609375</v>
      </c>
      <c r="H248" s="3">
        <v>327.739990234375</v>
      </c>
      <c r="I248" s="3">
        <v>303.86279296875</v>
      </c>
      <c r="J248" s="3">
        <v>284.64999389648398</v>
      </c>
      <c r="K248" s="3">
        <v>167.61000061035099</v>
      </c>
      <c r="L248" s="3">
        <v>4649.27001953125</v>
      </c>
      <c r="N248" s="3">
        <f t="shared" si="91"/>
        <v>1.2822503799386098E-2</v>
      </c>
      <c r="O248" s="3">
        <f t="shared" si="99"/>
        <v>1.4235185466391798E-2</v>
      </c>
      <c r="P248" s="3">
        <f t="shared" si="100"/>
        <v>1.5048165201275054E-2</v>
      </c>
      <c r="Q248" s="3">
        <f t="shared" si="101"/>
        <v>1.9776860166849985E-2</v>
      </c>
      <c r="R248" s="3">
        <f t="shared" si="102"/>
        <v>-2.8701034913383161E-2</v>
      </c>
      <c r="S248" s="3">
        <f t="shared" si="103"/>
        <v>1.9552317630743943E-2</v>
      </c>
      <c r="T248" s="3">
        <f t="shared" si="104"/>
        <v>3.9339306247970107E-2</v>
      </c>
      <c r="U248" s="3">
        <f t="shared" si="105"/>
        <v>0</v>
      </c>
      <c r="V248" s="3">
        <f t="shared" si="106"/>
        <v>4.6964770719473137E-3</v>
      </c>
      <c r="W248" s="3">
        <f t="shared" si="107"/>
        <v>-4.4847146488713463E-3</v>
      </c>
      <c r="X248" s="3">
        <f t="shared" si="108"/>
        <v>7.1966975641295505E-3</v>
      </c>
      <c r="AK248" s="3"/>
      <c r="AL248" s="8"/>
      <c r="AW248" s="3"/>
      <c r="AY248" s="5"/>
      <c r="AZ248" s="28">
        <f t="shared" si="112"/>
        <v>44509</v>
      </c>
      <c r="BA248" s="3">
        <f t="shared" si="113"/>
        <v>243</v>
      </c>
      <c r="BB248" s="3">
        <f t="shared" si="92"/>
        <v>1.5924277321873612</v>
      </c>
      <c r="BC248" s="3">
        <f t="shared" si="93"/>
        <v>1.5186106229418832</v>
      </c>
      <c r="BD248" s="3">
        <f t="shared" si="94"/>
        <v>1.7755137292675396</v>
      </c>
      <c r="BE248" s="3">
        <f t="shared" si="95"/>
        <v>1.2308837734458664</v>
      </c>
      <c r="BG248" s="3">
        <f t="shared" si="96"/>
        <v>-1.1382491855588206E-2</v>
      </c>
      <c r="BH248" s="3">
        <f t="shared" si="109"/>
        <v>-1.340280635426977E-2</v>
      </c>
      <c r="BI248" s="3">
        <f t="shared" si="110"/>
        <v>-1.2448417319613325E-2</v>
      </c>
      <c r="BJ248" s="3">
        <f t="shared" si="111"/>
        <v>-1.6299864096232686E-2</v>
      </c>
    </row>
    <row r="249" spans="1:62" x14ac:dyDescent="0.3">
      <c r="A249" s="27">
        <v>44512</v>
      </c>
      <c r="B249" s="3">
        <v>336.10510253906199</v>
      </c>
      <c r="C249" s="3">
        <v>149.99000549316401</v>
      </c>
      <c r="D249" s="3">
        <v>3525.14990234375</v>
      </c>
      <c r="E249" s="3">
        <v>2973.56005859375</v>
      </c>
      <c r="F249" s="3">
        <v>1033.42004394531</v>
      </c>
      <c r="G249" s="3">
        <v>2992.90991210937</v>
      </c>
      <c r="H249" s="3">
        <v>340.89001464843699</v>
      </c>
      <c r="I249" s="3">
        <v>303.86279296875</v>
      </c>
      <c r="J249" s="3">
        <v>285.989990234375</v>
      </c>
      <c r="K249" s="3">
        <v>166.86000061035099</v>
      </c>
      <c r="L249" s="3">
        <v>4682.85009765625</v>
      </c>
      <c r="N249" s="3">
        <f t="shared" si="91"/>
        <v>-1.9322251441939997E-3</v>
      </c>
      <c r="O249" s="3">
        <f t="shared" si="99"/>
        <v>6.663226545278178E-5</v>
      </c>
      <c r="P249" s="3">
        <f t="shared" si="100"/>
        <v>5.8069809258611826E-3</v>
      </c>
      <c r="Q249" s="3">
        <f t="shared" si="101"/>
        <v>-1.5212265098210054E-3</v>
      </c>
      <c r="R249" s="3">
        <f t="shared" si="102"/>
        <v>-1.9572572103903951E-2</v>
      </c>
      <c r="S249" s="3">
        <f t="shared" si="103"/>
        <v>-1.7221828604050415E-3</v>
      </c>
      <c r="T249" s="3">
        <f t="shared" si="104"/>
        <v>1.937741737740506E-2</v>
      </c>
      <c r="U249" s="3">
        <f t="shared" si="105"/>
        <v>-1.2083284019121621E-2</v>
      </c>
      <c r="V249" s="3">
        <f t="shared" si="106"/>
        <v>-4.6261492036103746E-3</v>
      </c>
      <c r="W249" s="3">
        <f t="shared" si="107"/>
        <v>-1.7995509229553619E-3</v>
      </c>
      <c r="X249" s="3">
        <f t="shared" si="108"/>
        <v>-1.0739878016252646E-5</v>
      </c>
      <c r="AK249" s="3"/>
      <c r="AL249" s="8"/>
      <c r="AW249" s="3"/>
      <c r="AY249" s="5"/>
      <c r="AZ249" s="28">
        <f t="shared" si="112"/>
        <v>44510</v>
      </c>
      <c r="BA249" s="3">
        <f t="shared" si="113"/>
        <v>244</v>
      </c>
      <c r="BB249" s="3">
        <f t="shared" si="92"/>
        <v>1.5744047045675582</v>
      </c>
      <c r="BC249" s="3">
        <f t="shared" si="93"/>
        <v>1.4983927694748189</v>
      </c>
      <c r="BD249" s="3">
        <f t="shared" si="94"/>
        <v>1.7535483938902134</v>
      </c>
      <c r="BE249" s="3">
        <f t="shared" si="95"/>
        <v>1.2109831644383371</v>
      </c>
      <c r="BG249" s="3">
        <f t="shared" si="96"/>
        <v>4.0376205645359375E-3</v>
      </c>
      <c r="BH249" s="3">
        <f t="shared" si="109"/>
        <v>2.6971644827468166E-3</v>
      </c>
      <c r="BI249" s="3">
        <f t="shared" si="110"/>
        <v>8.5696734584835843E-3</v>
      </c>
      <c r="BJ249" s="3">
        <f t="shared" si="111"/>
        <v>1.4382577335387753E-2</v>
      </c>
    </row>
    <row r="250" spans="1:62" x14ac:dyDescent="0.3">
      <c r="A250" s="27">
        <v>44515</v>
      </c>
      <c r="B250" s="3">
        <v>335.456298828125</v>
      </c>
      <c r="C250" s="3">
        <v>150</v>
      </c>
      <c r="D250" s="3">
        <v>3545.67993164062</v>
      </c>
      <c r="E250" s="3">
        <v>2969.0400390625</v>
      </c>
      <c r="F250" s="3">
        <v>1013.39001464843</v>
      </c>
      <c r="G250" s="3">
        <v>2987.76000976562</v>
      </c>
      <c r="H250" s="3">
        <v>347.55999755859301</v>
      </c>
      <c r="I250" s="3">
        <v>300.21322631835898</v>
      </c>
      <c r="J250" s="3">
        <v>284.67001342773398</v>
      </c>
      <c r="K250" s="3">
        <v>166.55999755859301</v>
      </c>
      <c r="L250" s="3">
        <v>4682.7998046875</v>
      </c>
      <c r="N250" s="3">
        <f t="shared" si="91"/>
        <v>1.0183923091689806E-2</v>
      </c>
      <c r="O250" s="3">
        <f t="shared" si="99"/>
        <v>6.6445427186687667E-3</v>
      </c>
      <c r="P250" s="3">
        <f t="shared" si="100"/>
        <v>-1.4055078533505849E-3</v>
      </c>
      <c r="Q250" s="3">
        <f t="shared" si="101"/>
        <v>-3.8875954773898158E-3</v>
      </c>
      <c r="R250" s="3">
        <f t="shared" si="102"/>
        <v>3.9983630791454949E-2</v>
      </c>
      <c r="S250" s="3">
        <f t="shared" si="103"/>
        <v>-2.090701885881785E-3</v>
      </c>
      <c r="T250" s="3">
        <f t="shared" si="104"/>
        <v>-1.332350757207923E-2</v>
      </c>
      <c r="U250" s="3">
        <f t="shared" si="105"/>
        <v>5.9108997101162686E-3</v>
      </c>
      <c r="V250" s="3">
        <f t="shared" si="106"/>
        <v>-4.6125394842313483E-3</v>
      </c>
      <c r="W250" s="3">
        <f t="shared" si="107"/>
        <v>-7.2306711442795546E-3</v>
      </c>
      <c r="X250" s="3">
        <f t="shared" si="108"/>
        <v>3.8577790571263648E-3</v>
      </c>
      <c r="AK250" s="3"/>
      <c r="AL250" s="8"/>
      <c r="AW250" s="3"/>
      <c r="AY250" s="5"/>
      <c r="AZ250" s="28">
        <f t="shared" si="112"/>
        <v>44511</v>
      </c>
      <c r="BA250" s="3">
        <f t="shared" si="113"/>
        <v>245</v>
      </c>
      <c r="BB250" s="3">
        <f t="shared" si="92"/>
        <v>1.5807744039407761</v>
      </c>
      <c r="BC250" s="3">
        <f t="shared" si="93"/>
        <v>1.5024396363132924</v>
      </c>
      <c r="BD250" s="3">
        <f t="shared" si="94"/>
        <v>1.7686403050331738</v>
      </c>
      <c r="BE250" s="3">
        <f t="shared" si="95"/>
        <v>1.2285260771950424</v>
      </c>
      <c r="BG250" s="3">
        <f t="shared" si="96"/>
        <v>6.8705036582028534E-3</v>
      </c>
      <c r="BH250" s="3">
        <f t="shared" si="109"/>
        <v>9.7191546985794797E-3</v>
      </c>
      <c r="BI250" s="3">
        <f t="shared" si="110"/>
        <v>-1.0021861301346968E-3</v>
      </c>
      <c r="BJ250" s="3">
        <f t="shared" si="111"/>
        <v>-7.6760186346966075E-3</v>
      </c>
    </row>
    <row r="251" spans="1:62" x14ac:dyDescent="0.3">
      <c r="A251" s="27">
        <v>44516</v>
      </c>
      <c r="B251" s="3">
        <v>338.89001464843699</v>
      </c>
      <c r="C251" s="3">
        <v>151</v>
      </c>
      <c r="D251" s="3">
        <v>3540.69995117187</v>
      </c>
      <c r="E251" s="3">
        <v>2957.52001953125</v>
      </c>
      <c r="F251" s="3">
        <v>1054.72998046875</v>
      </c>
      <c r="G251" s="3">
        <v>2981.52001953125</v>
      </c>
      <c r="H251" s="3">
        <v>342.95999145507801</v>
      </c>
      <c r="I251" s="3">
        <v>301.99301147460898</v>
      </c>
      <c r="J251" s="3">
        <v>283.35998535156199</v>
      </c>
      <c r="K251" s="3">
        <v>165.36000061035099</v>
      </c>
      <c r="L251" s="3">
        <v>4700.89990234375</v>
      </c>
      <c r="N251" s="3">
        <f t="shared" si="91"/>
        <v>6.7839847275941167E-4</v>
      </c>
      <c r="O251" s="3">
        <f t="shared" si="99"/>
        <v>1.6355617298808411E-2</v>
      </c>
      <c r="P251" s="3">
        <f t="shared" si="100"/>
        <v>2.3414397442120816E-3</v>
      </c>
      <c r="Q251" s="3">
        <f t="shared" si="101"/>
        <v>1.1556797809593178E-3</v>
      </c>
      <c r="R251" s="3">
        <f t="shared" si="102"/>
        <v>3.1984244127084338E-2</v>
      </c>
      <c r="S251" s="3">
        <f t="shared" si="103"/>
        <v>-9.3926066663030383E-5</v>
      </c>
      <c r="T251" s="3">
        <f t="shared" si="104"/>
        <v>-6.4060667027865392E-3</v>
      </c>
      <c r="U251" s="3">
        <f t="shared" si="105"/>
        <v>-3.1685711107080294E-2</v>
      </c>
      <c r="V251" s="3">
        <f t="shared" si="106"/>
        <v>-6.2660230544242523E-3</v>
      </c>
      <c r="W251" s="3">
        <f t="shared" si="107"/>
        <v>-5.3967288893375098E-3</v>
      </c>
      <c r="X251" s="3">
        <f t="shared" si="108"/>
        <v>-2.6050154828958227E-3</v>
      </c>
      <c r="AK251" s="3"/>
      <c r="AL251" s="8"/>
      <c r="AW251" s="3"/>
      <c r="AY251" s="5"/>
      <c r="AZ251" s="28">
        <f t="shared" si="112"/>
        <v>44512</v>
      </c>
      <c r="BA251" s="3">
        <f t="shared" si="113"/>
        <v>246</v>
      </c>
      <c r="BB251" s="3">
        <f t="shared" si="92"/>
        <v>1.59167251515298</v>
      </c>
      <c r="BC251" s="3">
        <f t="shared" si="93"/>
        <v>1.5171132717219711</v>
      </c>
      <c r="BD251" s="3">
        <f t="shared" si="94"/>
        <v>1.7668686861444927</v>
      </c>
      <c r="BE251" s="3">
        <f t="shared" si="95"/>
        <v>1.2191319888577654</v>
      </c>
      <c r="BG251" s="3">
        <f t="shared" si="96"/>
        <v>-3.4334217499339958E-3</v>
      </c>
      <c r="BH251" s="3">
        <f t="shared" si="109"/>
        <v>-1.9387066049973423E-3</v>
      </c>
      <c r="BI251" s="3">
        <f t="shared" si="110"/>
        <v>-6.7160176440160813E-3</v>
      </c>
      <c r="BJ251" s="3">
        <f t="shared" si="111"/>
        <v>-9.7475856227735858E-3</v>
      </c>
    </row>
    <row r="252" spans="1:62" x14ac:dyDescent="0.3">
      <c r="A252" s="27">
        <v>44517</v>
      </c>
      <c r="B252" s="3">
        <v>339.11999511718699</v>
      </c>
      <c r="C252" s="3">
        <v>153.49000549316401</v>
      </c>
      <c r="D252" s="3">
        <v>3549</v>
      </c>
      <c r="E252" s="3">
        <v>2960.93994140625</v>
      </c>
      <c r="F252" s="3">
        <v>1089.01000976562</v>
      </c>
      <c r="G252" s="3">
        <v>2981.23999023437</v>
      </c>
      <c r="H252" s="3">
        <v>340.76998901367102</v>
      </c>
      <c r="I252" s="3">
        <v>292.57415771484301</v>
      </c>
      <c r="J252" s="3">
        <v>281.58999633789</v>
      </c>
      <c r="K252" s="3">
        <v>164.47000122070301</v>
      </c>
      <c r="L252" s="3">
        <v>4688.669921875</v>
      </c>
      <c r="N252" s="3">
        <f t="shared" si="91"/>
        <v>6.3199080020073239E-3</v>
      </c>
      <c r="O252" s="3">
        <f t="shared" si="99"/>
        <v>2.8136424500574186E-2</v>
      </c>
      <c r="P252" s="3">
        <f t="shared" si="100"/>
        <v>4.0601529602575681E-2</v>
      </c>
      <c r="Q252" s="3">
        <f t="shared" si="101"/>
        <v>1.202828279622814E-2</v>
      </c>
      <c r="R252" s="3">
        <f t="shared" si="102"/>
        <v>6.7448126034488354E-3</v>
      </c>
      <c r="S252" s="3">
        <f t="shared" si="103"/>
        <v>1.0988478966892146E-2</v>
      </c>
      <c r="T252" s="3">
        <f t="shared" si="104"/>
        <v>-6.1224887285611373E-3</v>
      </c>
      <c r="U252" s="3">
        <f t="shared" si="105"/>
        <v>7.927219081917336E-2</v>
      </c>
      <c r="V252" s="3">
        <f t="shared" si="106"/>
        <v>-3.4150061753992489E-3</v>
      </c>
      <c r="W252" s="3">
        <f t="shared" si="107"/>
        <v>-8.6712692231962762E-3</v>
      </c>
      <c r="X252" s="3">
        <f t="shared" si="108"/>
        <v>3.3790647401712448E-3</v>
      </c>
      <c r="AK252" s="3"/>
      <c r="AL252" s="8"/>
      <c r="AW252" s="3"/>
      <c r="AY252" s="5"/>
      <c r="AZ252" s="28">
        <f t="shared" si="112"/>
        <v>44515</v>
      </c>
      <c r="BA252" s="3">
        <f t="shared" si="113"/>
        <v>247</v>
      </c>
      <c r="BB252" s="3">
        <f t="shared" si="92"/>
        <v>1.5862170030169993</v>
      </c>
      <c r="BC252" s="3">
        <f t="shared" si="93"/>
        <v>1.51417488345827</v>
      </c>
      <c r="BD252" s="3">
        <f t="shared" si="94"/>
        <v>1.7550421230299147</v>
      </c>
      <c r="BE252" s="3">
        <f t="shared" si="95"/>
        <v>1.2073061258534796</v>
      </c>
      <c r="BG252" s="3">
        <f t="shared" si="96"/>
        <v>4.886165403143683E-3</v>
      </c>
      <c r="BH252" s="3">
        <f t="shared" si="109"/>
        <v>1.750965354048839E-3</v>
      </c>
      <c r="BI252" s="3">
        <f t="shared" si="110"/>
        <v>5.6011695392936822E-3</v>
      </c>
      <c r="BJ252" s="3">
        <f t="shared" si="111"/>
        <v>6.8993173122391949E-3</v>
      </c>
    </row>
    <row r="253" spans="1:62" x14ac:dyDescent="0.3">
      <c r="A253" s="27">
        <v>44518</v>
      </c>
      <c r="B253" s="3">
        <v>341.26998901367102</v>
      </c>
      <c r="C253" s="3">
        <v>157.86999511718699</v>
      </c>
      <c r="D253" s="3">
        <v>3696.06005859375</v>
      </c>
      <c r="E253" s="3">
        <v>2996.77001953125</v>
      </c>
      <c r="F253" s="3">
        <v>1096.38000488281</v>
      </c>
      <c r="G253" s="3">
        <v>3014.17993164062</v>
      </c>
      <c r="H253" s="3">
        <v>338.69000244140602</v>
      </c>
      <c r="I253" s="3">
        <v>316.71121215820301</v>
      </c>
      <c r="J253" s="3">
        <v>280.63000488281199</v>
      </c>
      <c r="K253" s="3">
        <v>163.05000305175699</v>
      </c>
      <c r="L253" s="3">
        <v>4704.5400390625</v>
      </c>
      <c r="N253" s="3">
        <f t="shared" si="91"/>
        <v>5.377132120201189E-3</v>
      </c>
      <c r="O253" s="3">
        <f t="shared" si="99"/>
        <v>1.6833560929356395E-2</v>
      </c>
      <c r="P253" s="3">
        <f t="shared" si="100"/>
        <v>-5.2871323531249459E-3</v>
      </c>
      <c r="Q253" s="3">
        <f t="shared" si="101"/>
        <v>-6.1051484410734602E-3</v>
      </c>
      <c r="R253" s="3">
        <f t="shared" si="102"/>
        <v>3.6432187139561201E-2</v>
      </c>
      <c r="S253" s="3">
        <f t="shared" si="103"/>
        <v>-5.0322089092311728E-3</v>
      </c>
      <c r="T253" s="3">
        <f t="shared" si="104"/>
        <v>1.9328327100826215E-2</v>
      </c>
      <c r="U253" s="3">
        <f t="shared" si="105"/>
        <v>4.0525257293565708E-2</v>
      </c>
      <c r="V253" s="3">
        <f t="shared" si="106"/>
        <v>-2.2832397419074724E-3</v>
      </c>
      <c r="W253" s="3">
        <f t="shared" si="107"/>
        <v>-1.3149585249101037E-2</v>
      </c>
      <c r="X253" s="3">
        <f t="shared" si="108"/>
        <v>-1.3996446049873157E-3</v>
      </c>
      <c r="AY253" s="5"/>
      <c r="AZ253" s="28">
        <f t="shared" si="112"/>
        <v>44516</v>
      </c>
      <c r="BA253" s="3">
        <f t="shared" si="113"/>
        <v>248</v>
      </c>
      <c r="BB253" s="3">
        <f t="shared" si="92"/>
        <v>1.5939864876948557</v>
      </c>
      <c r="BC253" s="3">
        <f t="shared" si="93"/>
        <v>1.5168284737135111</v>
      </c>
      <c r="BD253" s="3">
        <f t="shared" si="94"/>
        <v>1.7648999935389662</v>
      </c>
      <c r="BE253" s="3">
        <f t="shared" si="95"/>
        <v>1.2156645143406306</v>
      </c>
      <c r="BG253" s="3">
        <f t="shared" si="96"/>
        <v>6.4230278056298662E-5</v>
      </c>
      <c r="BH253" s="3">
        <f t="shared" si="109"/>
        <v>-9.2163787934723684E-4</v>
      </c>
      <c r="BI253" s="3">
        <f t="shared" si="110"/>
        <v>-5.822506804807781E-3</v>
      </c>
      <c r="BJ253" s="3">
        <f t="shared" si="111"/>
        <v>-1.2534366534456387E-2</v>
      </c>
    </row>
    <row r="254" spans="1:62" x14ac:dyDescent="0.3">
      <c r="A254" s="27">
        <v>44519</v>
      </c>
      <c r="B254" s="3">
        <v>343.10998535156199</v>
      </c>
      <c r="C254" s="3">
        <v>160.55000305175699</v>
      </c>
      <c r="D254" s="3">
        <v>3676.57006835937</v>
      </c>
      <c r="E254" s="3">
        <v>2978.53002929687</v>
      </c>
      <c r="F254" s="3">
        <v>1137.06005859375</v>
      </c>
      <c r="G254" s="3">
        <v>2999.05004882812</v>
      </c>
      <c r="H254" s="3">
        <v>345.29998779296801</v>
      </c>
      <c r="I254" s="3">
        <v>329.80963134765602</v>
      </c>
      <c r="J254" s="3">
        <v>279.989990234375</v>
      </c>
      <c r="K254" s="3">
        <v>160.919998168945</v>
      </c>
      <c r="L254" s="3">
        <v>4697.9599609375</v>
      </c>
      <c r="AY254" s="5"/>
      <c r="AZ254" s="28">
        <f t="shared" si="112"/>
        <v>44517</v>
      </c>
      <c r="BA254" s="3">
        <f t="shared" si="113"/>
        <v>249</v>
      </c>
      <c r="BB254" s="3">
        <f t="shared" si="92"/>
        <v>1.5940888731782672</v>
      </c>
      <c r="BC254" s="3">
        <f t="shared" si="93"/>
        <v>1.5154311511472767</v>
      </c>
      <c r="BD254" s="3">
        <f t="shared" si="94"/>
        <v>1.7546537097922887</v>
      </c>
      <c r="BE254" s="3">
        <f t="shared" si="95"/>
        <v>1.2005220287203653</v>
      </c>
      <c r="BG254" s="3">
        <f t="shared" si="96"/>
        <v>1.9253953907515831E-2</v>
      </c>
      <c r="BH254" s="3">
        <f t="shared" si="109"/>
        <v>1.5099772377989429E-2</v>
      </c>
      <c r="BI254" s="3">
        <f t="shared" si="110"/>
        <v>2.9022662692648971E-2</v>
      </c>
      <c r="BJ254" s="3">
        <f t="shared" si="111"/>
        <v>4.3587250569123659E-2</v>
      </c>
    </row>
    <row r="255" spans="1:62" x14ac:dyDescent="0.25">
      <c r="AY255" s="5"/>
      <c r="AZ255" s="28">
        <f t="shared" si="112"/>
        <v>44518</v>
      </c>
      <c r="BA255" s="3">
        <f t="shared" si="113"/>
        <v>250</v>
      </c>
      <c r="BB255" s="3">
        <f t="shared" si="92"/>
        <v>1.6250787685134462</v>
      </c>
      <c r="BC255" s="3">
        <f t="shared" si="93"/>
        <v>1.5384874509495239</v>
      </c>
      <c r="BD255" s="3">
        <f t="shared" si="94"/>
        <v>1.8063246193630251</v>
      </c>
      <c r="BE255" s="3">
        <f t="shared" si="95"/>
        <v>1.254006639308674</v>
      </c>
      <c r="BG255" s="3">
        <f t="shared" si="96"/>
        <v>1.1760063961363643E-2</v>
      </c>
      <c r="BH255" s="3">
        <f t="shared" si="109"/>
        <v>6.4723996165476638E-3</v>
      </c>
      <c r="BI255" s="3">
        <f t="shared" si="110"/>
        <v>1.6346373443385742E-2</v>
      </c>
      <c r="BJ255" s="3">
        <f t="shared" si="111"/>
        <v>2.3099151160084153E-2</v>
      </c>
    </row>
    <row r="256" spans="1:62" x14ac:dyDescent="0.25">
      <c r="AY256" s="5"/>
      <c r="AZ256" s="28">
        <f t="shared" si="112"/>
        <v>44519</v>
      </c>
      <c r="BA256" s="3">
        <f t="shared" si="113"/>
        <v>251</v>
      </c>
      <c r="BB256" s="3">
        <f t="shared" si="92"/>
        <v>1.6443026140470736</v>
      </c>
      <c r="BC256" s="3">
        <f t="shared" si="93"/>
        <v>1.5484774512992987</v>
      </c>
      <c r="BD256" s="3">
        <f t="shared" si="94"/>
        <v>1.8360941250048948</v>
      </c>
      <c r="BE256" s="3">
        <f t="shared" si="95"/>
        <v>1.2833102697687453</v>
      </c>
    </row>
    <row r="257" spans="52:52" x14ac:dyDescent="0.25">
      <c r="AZ257" s="28"/>
    </row>
    <row r="258" spans="52:52" x14ac:dyDescent="0.25">
      <c r="AZ258" s="28"/>
    </row>
    <row r="259" spans="52:52" x14ac:dyDescent="0.25">
      <c r="AZ259" s="28"/>
    </row>
  </sheetData>
  <sortState columnSort="1" ref="Z56:AJ66">
    <sortCondition descending="1" ref="Z56:AJ56"/>
  </sortState>
  <phoneticPr fontId="2" type="noConversion"/>
  <conditionalFormatting sqref="AM23:AV23 AM30:AV30">
    <cfRule type="expression" dxfId="1" priority="2">
      <formula>AM$28&lt;0</formula>
    </cfRule>
  </conditionalFormatting>
  <conditionalFormatting sqref="AM41:AV41 AM34:AV34">
    <cfRule type="expression" dxfId="0" priority="1">
      <formula>AM$41&lt;0</formula>
    </cfRule>
  </conditionalFormatting>
  <pageMargins left="0.7" right="0.7" top="0.75" bottom="0.75" header="0.3" footer="0.3"/>
  <pageSetup paperSize="9" orientation="portrait" r:id="rId1"/>
  <ignoredErrors>
    <ignoredError sqref="AM3:AV3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Eigencalcs</vt:lpstr>
      <vt:lpstr>PCA</vt:lpstr>
      <vt:lpstr>(6) Eigenvalue_vs_Eigenmode</vt:lpstr>
      <vt:lpstr>(8) PC2_PC3</vt:lpstr>
      <vt:lpstr>(15) Strategies</vt:lpstr>
    </vt:vector>
  </TitlesOfParts>
  <Company>University of Toronto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White</dc:creator>
  <cp:lastModifiedBy>aauser</cp:lastModifiedBy>
  <cp:lastPrinted>2011-10-04T19:23:43Z</cp:lastPrinted>
  <dcterms:created xsi:type="dcterms:W3CDTF">1999-10-06T23:05:41Z</dcterms:created>
  <dcterms:modified xsi:type="dcterms:W3CDTF">2021-12-03T06:48:39Z</dcterms:modified>
</cp:coreProperties>
</file>